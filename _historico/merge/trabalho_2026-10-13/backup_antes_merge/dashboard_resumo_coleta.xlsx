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ados" sheetId="3" state="visible" r:id="rId3"/>
    <sheet xmlns:r="http://schemas.openxmlformats.org/officeDocument/2006/relationships" name="Itens EPI-UNIFORME" sheetId="4" state="visible" r:id="rId4"/>
    <sheet xmlns:r="http://schemas.openxmlformats.org/officeDocument/2006/relationships" name="Itens LIMPEZA E HIGIENE" sheetId="5" state="visible" r:id="rId5"/>
    <sheet xmlns:r="http://schemas.openxmlformats.org/officeDocument/2006/relationships" name="Itens LIMPEZA PREDIAL" sheetId="6" state="visible" r:id="rId6"/>
  </sheets>
  <definedNames>
    <definedName name="_xlnm.Print_Area" localSheetId="0">'Dashboard'!$A$1:$Z$42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color rgb="008A96A8"/>
      <sz val="9"/>
    </font>
    <font>
      <name val="Arial"/>
      <b val="1"/>
      <color rgb="001F3A5F"/>
      <sz val="13"/>
    </font>
    <font>
      <name val="Arial"/>
      <b val="1"/>
      <sz val="10"/>
    </font>
    <font>
      <name val="Arial"/>
      <b val="1"/>
      <color rgb="001F3A5F"/>
      <sz val="18"/>
    </font>
    <font>
      <name val="Arial"/>
      <color rgb="008A96A8"/>
      <sz val="10"/>
    </font>
    <font>
      <name val="Arial"/>
      <b val="1"/>
      <color rgb="008A96A8"/>
      <sz val="9"/>
    </font>
    <font>
      <name val="Arial"/>
      <b val="1"/>
      <color rgb="001F3A5F"/>
      <sz val="24"/>
    </font>
    <font>
      <name val="Arial"/>
      <b val="1"/>
      <color rgb="00E07B39"/>
      <sz val="24"/>
    </font>
    <font>
      <name val="Arial"/>
      <i val="1"/>
      <color rgb="008A96A8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5F8"/>
      </patternFill>
    </fill>
  </fills>
  <borders count="4">
    <border>
      <left/>
      <right/>
      <top/>
      <bottom/>
      <diagonal/>
    </border>
    <border>
      <bottom style="thin">
        <color rgb="00D0D6DE"/>
      </bottom>
    </border>
    <border>
      <top style="thick">
        <color rgb="002F6DB5"/>
      </top>
    </border>
    <border>
      <top style="thick">
        <color rgb="00E07B39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2" applyAlignment="1" pivotButton="0" quotePrefix="0" xfId="0">
      <alignment horizontal="left" vertical="bottom" indent="1"/>
    </xf>
    <xf numFmtId="0" fontId="0" fillId="3" borderId="2" pivotButton="0" quotePrefix="0" xfId="0"/>
    <xf numFmtId="0" fontId="9" fillId="3" borderId="3" applyAlignment="1" pivotButton="0" quotePrefix="0" xfId="0">
      <alignment horizontal="left" vertical="bottom" indent="1"/>
    </xf>
    <xf numFmtId="0" fontId="0" fillId="3" borderId="3" pivotButton="0" quotePrefix="0" xfId="0"/>
    <xf numFmtId="3" fontId="10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64" fontId="10" fillId="3" borderId="0" applyAlignment="1" pivotButton="0" quotePrefix="0" xfId="0">
      <alignment horizontal="left" vertical="center" indent="1"/>
    </xf>
    <xf numFmtId="3" fontId="11" fillId="3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3A8F5C"/>
      </font>
    </dxf>
    <dxf>
      <font>
        <b val="1"/>
        <color rgb="00C0504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Preços coletados x faltantes por grupo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'Resumo'!C3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'Resumo'!$C$4:$C$6</f>
            </numRef>
          </val>
        </ser>
        <ser>
          <idx val="1"/>
          <order val="1"/>
          <tx>
            <strRef>
              <f>'Resumo'!D3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'Resumo'!$D$4:$D$6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da meta por grupo (%)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'Resumo'!F3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dLbls>
            <numFmt formatCode="0%"/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'Resumo'!$F$4:$F$6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1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Itens por quantidade de preços coletados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'Resumo'!B12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cat>
            <numRef>
              <f>'Resumo'!$A$13:$A$18</f>
            </numRef>
          </cat>
          <val>
            <numRef>
              <f>'Resumo'!$B$13:$B$18</f>
            </numRef>
          </val>
        </ser>
        <ser>
          <idx val="1"/>
          <order val="1"/>
          <tx>
            <strRef>
              <f>'Resumo'!C12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'Resumo'!$A$13:$A$18</f>
            </numRef>
          </cat>
          <val>
            <numRef>
              <f>'Resumo'!$C$13:$C$18</f>
            </numRef>
          </val>
        </ser>
        <ser>
          <idx val="2"/>
          <order val="2"/>
          <tx>
            <strRef>
              <f>'Resumo'!D12</f>
            </strRef>
          </tx>
          <spPr>
            <a:solidFill xmlns:a="http://schemas.openxmlformats.org/drawingml/2006/main">
              <a:srgbClr val="E07B39"/>
            </a:solidFill>
            <a:ln xmlns:a="http://schemas.openxmlformats.org/drawingml/2006/main">
              <a:noFill/>
              <a:prstDash val="solid"/>
            </a:ln>
          </spPr>
          <cat>
            <numRef>
              <f>'Resumo'!$A$13:$A$18</f>
            </numRef>
          </cat>
          <val>
            <numRef>
              <f>'Resumo'!$D$13:$D$18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Nº de itens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dos itens por grupo</a:t>
            </a:r>
          </a:p>
        </rich>
      </tx>
      <overlay val="0"/>
    </title>
    <plotArea>
      <barChart>
        <barDir val="bar"/>
        <grouping val="percentStacked"/>
        <ser>
          <idx val="0"/>
          <order val="0"/>
          <tx>
            <strRef>
              <f>'Resumo'!G3</f>
            </strRef>
          </tx>
          <spPr>
            <a:solidFill xmlns:a="http://schemas.openxmlformats.org/drawingml/2006/main">
              <a:srgbClr val="3A8F5C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'Resumo'!$G$4:$G$6</f>
            </numRef>
          </val>
        </ser>
        <ser>
          <idx val="1"/>
          <order val="1"/>
          <tx>
            <strRef>
              <f>'Resumo'!H3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'Resumo'!$H$4:$H$6</f>
            </numRef>
          </val>
        </ser>
        <ser>
          <idx val="2"/>
          <order val="2"/>
          <tx>
            <strRef>
              <f>'Resumo'!I3</f>
            </strRef>
          </tx>
          <spPr>
            <a:solidFill xmlns:a="http://schemas.openxmlformats.org/drawingml/2006/main">
              <a:srgbClr val="E07B39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'Resumo'!$I$4:$I$6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EPI / UNIFORME: preços por item (meta 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'Itens EPI-UNIFORME'!B1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'Itens EPI-UNIFORME'!$A$2:$A$17</f>
            </numRef>
          </cat>
          <val>
            <numRef>
              <f>'Itens EPI-UNIFORME'!$B$2:$B$17</f>
            </numRef>
          </val>
        </ser>
        <ser>
          <idx val="1"/>
          <order val="1"/>
          <tx>
            <strRef>
              <f>'Itens EPI-UNIFORME'!C1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cat>
            <numRef>
              <f>'Itens EPI-UNIFORME'!$A$2:$A$17</f>
            </numRef>
          </cat>
          <val>
            <numRef>
              <f>'Itens EPI-UNIFORME'!$C$2:$C$17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  <max val="5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LIMPEZA E HIGIENE: preços por item (meta 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'Itens LIMPEZA E HIGIENE'!B1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E HIGIENE'!$A$2:$A$57</f>
            </numRef>
          </cat>
          <val>
            <numRef>
              <f>'Itens LIMPEZA E HIGIENE'!$B$2:$B$57</f>
            </numRef>
          </val>
        </ser>
        <ser>
          <idx val="1"/>
          <order val="1"/>
          <tx>
            <strRef>
              <f>'Itens LIMPEZA E HIGIENE'!C1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E HIGIENE'!$A$2:$A$57</f>
            </numRef>
          </cat>
          <val>
            <numRef>
              <f>'Itens LIMPEZA E HIGIENE'!$C$2:$C$57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  <max val="5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LIMPEZA PREDIAL: preços por item (meta 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'Itens LIMPEZA PREDIAL'!B1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PREDIAL'!$A$2:$A$49</f>
            </numRef>
          </cat>
          <val>
            <numRef>
              <f>'Itens LIMPEZA PREDIAL'!$B$2:$B$49</f>
            </numRef>
          </val>
        </ser>
        <ser>
          <idx val="1"/>
          <order val="1"/>
          <tx>
            <strRef>
              <f>'Itens LIMPEZA PREDIAL'!C1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PREDIAL'!$A$2:$A$49</f>
            </numRef>
          </cat>
          <val>
            <numRef>
              <f>'Itens LIMPEZA PREDIAL'!$C$2:$C$49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  <max val="5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630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7</row>
      <rowOff>0</rowOff>
    </from>
    <ext cx="630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630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24</row>
      <rowOff>0</rowOff>
    </from>
    <ext cx="630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15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129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Coleta" displayName="TabColeta" ref="A1:J121" headerRowCount="1">
  <autoFilter ref="A1:J121"/>
  <tableColumns count="10">
    <tableColumn id="1" name="ID FGV"/>
    <tableColumn id="2" name="Grupo"/>
    <tableColumn id="3" name="UF"/>
    <tableColumn id="4" name="Preços coletados"/>
    <tableColumn id="5" name="Faltam"/>
    <tableColumn id="6" name="Meta (preços)"/>
    <tableColumn id="7" name="% coletado"/>
    <tableColumn id="8" name="Link aproveitável"/>
    <tableColumn id="9" name="Sem preço visível (col. P)"/>
    <tableColumn id="10" name="Statu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Y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</cols>
  <sheetData>
    <row r="1" ht="34" customHeight="1">
      <c r="B1" s="1" t="inlineStr">
        <is>
          <t>Painel de coleta de preços — FNDE Centro-Oeste (GO)</t>
        </is>
      </c>
    </row>
    <row r="2">
      <c r="B2" s="2" t="inlineStr">
        <is>
          <t>Consolidado dos arquivos resumo_coleta.csv · EPI / Uniforme, Limpeza e Higiene, Limpeza Predial · meta de 5 preços por item</t>
        </is>
      </c>
    </row>
    <row r="4" ht="20" customHeight="1">
      <c r="B4" s="3" t="inlineStr">
        <is>
          <t>Itens</t>
        </is>
      </c>
      <c r="C4" s="4" t="n"/>
      <c r="D4" s="4" t="n"/>
      <c r="E4" s="4" t="n"/>
      <c r="F4" s="3" t="inlineStr">
        <is>
          <t>Preços coletados</t>
        </is>
      </c>
      <c r="G4" s="4" t="n"/>
      <c r="H4" s="4" t="n"/>
      <c r="I4" s="4" t="n"/>
      <c r="J4" s="3" t="inlineStr">
        <is>
          <t>Meta de preços</t>
        </is>
      </c>
      <c r="K4" s="4" t="n"/>
      <c r="L4" s="4" t="n"/>
      <c r="M4" s="4" t="n"/>
      <c r="N4" s="3" t="inlineStr">
        <is>
          <t>Cobertura</t>
        </is>
      </c>
      <c r="O4" s="4" t="n"/>
      <c r="P4" s="4" t="n"/>
      <c r="Q4" s="4" t="n"/>
      <c r="R4" s="3" t="inlineStr">
        <is>
          <t>Itens completos</t>
        </is>
      </c>
      <c r="S4" s="4" t="n"/>
      <c r="T4" s="4" t="n"/>
      <c r="U4" s="4" t="n"/>
      <c r="V4" s="5" t="inlineStr">
        <is>
          <t>Itens sem preço</t>
        </is>
      </c>
      <c r="W4" s="6" t="n"/>
      <c r="X4" s="6" t="n"/>
      <c r="Y4" s="6" t="n"/>
    </row>
    <row r="5" ht="22" customHeight="1">
      <c r="B5" s="7">
        <f>Resumo!B7</f>
        <v/>
      </c>
      <c r="C5" s="8" t="n"/>
      <c r="D5" s="8" t="n"/>
      <c r="E5" s="8" t="n"/>
      <c r="F5" s="7">
        <f>Resumo!C7</f>
        <v/>
      </c>
      <c r="G5" s="8" t="n"/>
      <c r="H5" s="8" t="n"/>
      <c r="I5" s="8" t="n"/>
      <c r="J5" s="7">
        <f>Resumo!E7</f>
        <v/>
      </c>
      <c r="K5" s="8" t="n"/>
      <c r="L5" s="8" t="n"/>
      <c r="M5" s="8" t="n"/>
      <c r="N5" s="9">
        <f>Resumo!F7</f>
        <v/>
      </c>
      <c r="O5" s="8" t="n"/>
      <c r="P5" s="8" t="n"/>
      <c r="Q5" s="8" t="n"/>
      <c r="R5" s="7">
        <f>Resumo!G7</f>
        <v/>
      </c>
      <c r="S5" s="8" t="n"/>
      <c r="T5" s="8" t="n"/>
      <c r="U5" s="8" t="n"/>
      <c r="V5" s="10">
        <f>Resumo!I7</f>
        <v/>
      </c>
      <c r="W5" s="8" t="n"/>
      <c r="X5" s="8" t="n"/>
      <c r="Y5" s="8" t="n"/>
    </row>
    <row r="6" ht="22" customHeight="1"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42">
      <c r="B42" s="11" t="inlineStr">
        <is>
          <t>Detalhamento por item nas abas “Itens …”; base consolidada na aba Dados (tabela editável — os gráficos se atualizam).</t>
        </is>
      </c>
    </row>
  </sheetData>
  <mergeCells count="14">
    <mergeCell ref="B5:E6"/>
    <mergeCell ref="J5:M6"/>
    <mergeCell ref="N5:Q6"/>
    <mergeCell ref="B4:E4"/>
    <mergeCell ref="R4:U4"/>
    <mergeCell ref="R5:U6"/>
    <mergeCell ref="B2:Y2"/>
    <mergeCell ref="F4:I4"/>
    <mergeCell ref="V4:Y4"/>
    <mergeCell ref="J4:M4"/>
    <mergeCell ref="N4:Q4"/>
    <mergeCell ref="B1:Y1"/>
    <mergeCell ref="F5:I6"/>
    <mergeCell ref="V5:Y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2" t="inlineStr">
        <is>
          <t>Resumo por grupo</t>
        </is>
      </c>
    </row>
    <row r="3" ht="32" customHeight="1">
      <c r="A3" s="13" t="inlineStr">
        <is>
          <t>Grupo</t>
        </is>
      </c>
      <c r="B3" s="13" t="inlineStr">
        <is>
          <t>Itens</t>
        </is>
      </c>
      <c r="C3" s="13" t="inlineStr">
        <is>
          <t>Preços coletados</t>
        </is>
      </c>
      <c r="D3" s="13" t="inlineStr">
        <is>
          <t>Faltam</t>
        </is>
      </c>
      <c r="E3" s="13" t="inlineStr">
        <is>
          <t>Meta</t>
        </is>
      </c>
      <c r="F3" s="13" t="inlineStr">
        <is>
          <t>% cobertura</t>
        </is>
      </c>
      <c r="G3" s="13" t="inlineStr">
        <is>
          <t>Itens completos</t>
        </is>
      </c>
      <c r="H3" s="13" t="inlineStr">
        <is>
          <t>Itens parciais</t>
        </is>
      </c>
      <c r="I3" s="13" t="inlineStr">
        <is>
          <t>Itens sem preço</t>
        </is>
      </c>
      <c r="J3" s="13" t="inlineStr">
        <is>
          <t>Links aproveitáveis</t>
        </is>
      </c>
      <c r="K3" s="13" t="inlineStr">
        <is>
          <t>Sem preço visível</t>
        </is>
      </c>
    </row>
    <row r="4">
      <c r="A4" s="14" t="inlineStr">
        <is>
          <t>EPI / UNIFORME</t>
        </is>
      </c>
      <c r="B4" s="15">
        <f>COUNTIF(Dados!$B$2:$B$121,$A4)</f>
        <v/>
      </c>
      <c r="C4" s="15">
        <f>SUMIF(Dados!$B$2:$B$121,$A4,Dados!$D$2:$D$121)</f>
        <v/>
      </c>
      <c r="D4" s="15">
        <f>SUMIF(Dados!$B$2:$B$121,$A4,Dados!$E$2:$E$121)</f>
        <v/>
      </c>
      <c r="E4" s="15">
        <f>SUMIF(Dados!$B$2:$B$121,$A4,Dados!$F$2:$F$121)</f>
        <v/>
      </c>
      <c r="F4" s="16">
        <f>IF(E4=0,0,C4/E4)</f>
        <v/>
      </c>
      <c r="G4" s="15">
        <f>COUNTIFS(Dados!$B$2:$B$121,$A4,Dados!$J$2:$J$121,"Completo")</f>
        <v/>
      </c>
      <c r="H4" s="15">
        <f>COUNTIFS(Dados!$B$2:$B$121,$A4,Dados!$J$2:$J$121,"Parcial")</f>
        <v/>
      </c>
      <c r="I4" s="15">
        <f>COUNTIFS(Dados!$B$2:$B$121,$A4,Dados!$J$2:$J$121,"Sem preço")</f>
        <v/>
      </c>
      <c r="J4" s="15">
        <f>IF(COUNTIFS(Dados!$B$2:$B$121,$A4,Dados!$H$2:$H$121,"&lt;&gt;")=0,"n/d",SUMIF(Dados!$B$2:$B$121,$A4,Dados!$H$2:$H$121))</f>
        <v/>
      </c>
      <c r="K4" s="15">
        <f>IF(COUNTIFS(Dados!$B$2:$B$121,$A4,Dados!$I$2:$I$121,"&lt;&gt;")=0,"n/d",SUMIF(Dados!$B$2:$B$121,$A4,Dados!$I$2:$I$121))</f>
        <v/>
      </c>
    </row>
    <row r="5">
      <c r="A5" s="14" t="inlineStr">
        <is>
          <t>LIMPEZA E HIGIENE</t>
        </is>
      </c>
      <c r="B5" s="15">
        <f>COUNTIF(Dados!$B$2:$B$121,$A5)</f>
        <v/>
      </c>
      <c r="C5" s="15">
        <f>SUMIF(Dados!$B$2:$B$121,$A5,Dados!$D$2:$D$121)</f>
        <v/>
      </c>
      <c r="D5" s="15">
        <f>SUMIF(Dados!$B$2:$B$121,$A5,Dados!$E$2:$E$121)</f>
        <v/>
      </c>
      <c r="E5" s="15">
        <f>SUMIF(Dados!$B$2:$B$121,$A5,Dados!$F$2:$F$121)</f>
        <v/>
      </c>
      <c r="F5" s="16">
        <f>IF(E5=0,0,C5/E5)</f>
        <v/>
      </c>
      <c r="G5" s="15">
        <f>COUNTIFS(Dados!$B$2:$B$121,$A5,Dados!$J$2:$J$121,"Completo")</f>
        <v/>
      </c>
      <c r="H5" s="15">
        <f>COUNTIFS(Dados!$B$2:$B$121,$A5,Dados!$J$2:$J$121,"Parcial")</f>
        <v/>
      </c>
      <c r="I5" s="15">
        <f>COUNTIFS(Dados!$B$2:$B$121,$A5,Dados!$J$2:$J$121,"Sem preço")</f>
        <v/>
      </c>
      <c r="J5" s="15">
        <f>IF(COUNTIFS(Dados!$B$2:$B$121,$A5,Dados!$H$2:$H$121,"&lt;&gt;")=0,"n/d",SUMIF(Dados!$B$2:$B$121,$A5,Dados!$H$2:$H$121))</f>
        <v/>
      </c>
      <c r="K5" s="15">
        <f>IF(COUNTIFS(Dados!$B$2:$B$121,$A5,Dados!$I$2:$I$121,"&lt;&gt;")=0,"n/d",SUMIF(Dados!$B$2:$B$121,$A5,Dados!$I$2:$I$121))</f>
        <v/>
      </c>
    </row>
    <row r="6">
      <c r="A6" s="14" t="inlineStr">
        <is>
          <t>LIMPEZA PREDIAL</t>
        </is>
      </c>
      <c r="B6" s="15">
        <f>COUNTIF(Dados!$B$2:$B$121,$A6)</f>
        <v/>
      </c>
      <c r="C6" s="15">
        <f>SUMIF(Dados!$B$2:$B$121,$A6,Dados!$D$2:$D$121)</f>
        <v/>
      </c>
      <c r="D6" s="15">
        <f>SUMIF(Dados!$B$2:$B$121,$A6,Dados!$E$2:$E$121)</f>
        <v/>
      </c>
      <c r="E6" s="15">
        <f>SUMIF(Dados!$B$2:$B$121,$A6,Dados!$F$2:$F$121)</f>
        <v/>
      </c>
      <c r="F6" s="16">
        <f>IF(E6=0,0,C6/E6)</f>
        <v/>
      </c>
      <c r="G6" s="15">
        <f>COUNTIFS(Dados!$B$2:$B$121,$A6,Dados!$J$2:$J$121,"Completo")</f>
        <v/>
      </c>
      <c r="H6" s="15">
        <f>COUNTIFS(Dados!$B$2:$B$121,$A6,Dados!$J$2:$J$121,"Parcial")</f>
        <v/>
      </c>
      <c r="I6" s="15">
        <f>COUNTIFS(Dados!$B$2:$B$121,$A6,Dados!$J$2:$J$121,"Sem preço")</f>
        <v/>
      </c>
      <c r="J6" s="15">
        <f>IF(COUNTIFS(Dados!$B$2:$B$121,$A6,Dados!$H$2:$H$121,"&lt;&gt;")=0,"n/d",SUMIF(Dados!$B$2:$B$121,$A6,Dados!$H$2:$H$121))</f>
        <v/>
      </c>
      <c r="K6" s="15">
        <f>IF(COUNTIFS(Dados!$B$2:$B$121,$A6,Dados!$I$2:$I$121,"&lt;&gt;")=0,"n/d",SUMIF(Dados!$B$2:$B$121,$A6,Dados!$I$2:$I$121))</f>
        <v/>
      </c>
    </row>
    <row r="7">
      <c r="A7" s="17" t="inlineStr">
        <is>
          <t>TOTAL</t>
        </is>
      </c>
      <c r="B7" s="18">
        <f>SUM(B4:B6)</f>
        <v/>
      </c>
      <c r="C7" s="18">
        <f>SUM(C4:C6)</f>
        <v/>
      </c>
      <c r="D7" s="18">
        <f>SUM(D4:D6)</f>
        <v/>
      </c>
      <c r="E7" s="18">
        <f>SUM(E4:E6)</f>
        <v/>
      </c>
      <c r="F7" s="19">
        <f>IF(E7=0,0,C7/E7)</f>
        <v/>
      </c>
      <c r="G7" s="18">
        <f>SUM(G4:G6)</f>
        <v/>
      </c>
      <c r="H7" s="18">
        <f>SUM(H4:H6)</f>
        <v/>
      </c>
      <c r="I7" s="18">
        <f>SUM(I4:I6)</f>
        <v/>
      </c>
      <c r="J7" s="18">
        <f>SUM(J4:J6)</f>
        <v/>
      </c>
      <c r="K7" s="18">
        <f>SUM(K4:K6)</f>
        <v/>
      </c>
    </row>
    <row r="10">
      <c r="A10" s="12" t="inlineStr">
        <is>
          <t>Distribuição dos itens por nº de preços coletados</t>
        </is>
      </c>
    </row>
    <row r="12" ht="30" customHeight="1">
      <c r="A12" s="13" t="inlineStr">
        <is>
          <t>Preços coletados</t>
        </is>
      </c>
      <c r="B12" s="13" t="inlineStr">
        <is>
          <t>EPI / UNIFORME</t>
        </is>
      </c>
      <c r="C12" s="13" t="inlineStr">
        <is>
          <t>LIMPEZA E HIGIENE</t>
        </is>
      </c>
      <c r="D12" s="13" t="inlineStr">
        <is>
          <t>LIMPEZA PREDIAL</t>
        </is>
      </c>
      <c r="E12" s="13" t="inlineStr">
        <is>
          <t>Total</t>
        </is>
      </c>
      <c r="G12" s="13" t="inlineStr">
        <is>
          <t>Status</t>
        </is>
      </c>
      <c r="H12" s="13" t="inlineStr">
        <is>
          <t>Itens</t>
        </is>
      </c>
    </row>
    <row r="13">
      <c r="A13" s="15" t="inlineStr">
        <is>
          <t>0 de 5</t>
        </is>
      </c>
      <c r="B13" s="15">
        <f>COUNTIFS(Dados!$B$2:$B$121,B$12,Dados!$D$2:$D$121,0)</f>
        <v/>
      </c>
      <c r="C13" s="15">
        <f>COUNTIFS(Dados!$B$2:$B$121,C$12,Dados!$D$2:$D$121,0)</f>
        <v/>
      </c>
      <c r="D13" s="15">
        <f>COUNTIFS(Dados!$B$2:$B$121,D$12,Dados!$D$2:$D$121,0)</f>
        <v/>
      </c>
      <c r="E13" s="15">
        <f>SUM(B13:D13)</f>
        <v/>
      </c>
      <c r="G13" s="14" t="inlineStr">
        <is>
          <t>Completo (5/5)</t>
        </is>
      </c>
      <c r="H13" s="14">
        <f>G7</f>
        <v/>
      </c>
    </row>
    <row r="14">
      <c r="A14" s="15" t="inlineStr">
        <is>
          <t>1 de 5</t>
        </is>
      </c>
      <c r="B14" s="15">
        <f>COUNTIFS(Dados!$B$2:$B$121,B$12,Dados!$D$2:$D$121,1)</f>
        <v/>
      </c>
      <c r="C14" s="15">
        <f>COUNTIFS(Dados!$B$2:$B$121,C$12,Dados!$D$2:$D$121,1)</f>
        <v/>
      </c>
      <c r="D14" s="15">
        <f>COUNTIFS(Dados!$B$2:$B$121,D$12,Dados!$D$2:$D$121,1)</f>
        <v/>
      </c>
      <c r="E14" s="15">
        <f>SUM(B14:D14)</f>
        <v/>
      </c>
      <c r="G14" s="14" t="inlineStr">
        <is>
          <t>Parcial</t>
        </is>
      </c>
      <c r="H14" s="14">
        <f>H7</f>
        <v/>
      </c>
    </row>
    <row r="15">
      <c r="A15" s="15" t="inlineStr">
        <is>
          <t>2 de 5</t>
        </is>
      </c>
      <c r="B15" s="15">
        <f>COUNTIFS(Dados!$B$2:$B$121,B$12,Dados!$D$2:$D$121,2)</f>
        <v/>
      </c>
      <c r="C15" s="15">
        <f>COUNTIFS(Dados!$B$2:$B$121,C$12,Dados!$D$2:$D$121,2)</f>
        <v/>
      </c>
      <c r="D15" s="15">
        <f>COUNTIFS(Dados!$B$2:$B$121,D$12,Dados!$D$2:$D$121,2)</f>
        <v/>
      </c>
      <c r="E15" s="15">
        <f>SUM(B15:D15)</f>
        <v/>
      </c>
      <c r="G15" s="14" t="inlineStr">
        <is>
          <t>Sem preço</t>
        </is>
      </c>
      <c r="H15" s="14">
        <f>I7</f>
        <v/>
      </c>
    </row>
    <row r="16">
      <c r="A16" s="15" t="inlineStr">
        <is>
          <t>3 de 5</t>
        </is>
      </c>
      <c r="B16" s="15">
        <f>COUNTIFS(Dados!$B$2:$B$121,B$12,Dados!$D$2:$D$121,3)</f>
        <v/>
      </c>
      <c r="C16" s="15">
        <f>COUNTIFS(Dados!$B$2:$B$121,C$12,Dados!$D$2:$D$121,3)</f>
        <v/>
      </c>
      <c r="D16" s="15">
        <f>COUNTIFS(Dados!$B$2:$B$121,D$12,Dados!$D$2:$D$121,3)</f>
        <v/>
      </c>
      <c r="E16" s="15">
        <f>SUM(B16:D16)</f>
        <v/>
      </c>
    </row>
    <row r="17">
      <c r="A17" s="15" t="inlineStr">
        <is>
          <t>4 de 5</t>
        </is>
      </c>
      <c r="B17" s="15">
        <f>COUNTIFS(Dados!$B$2:$B$121,B$12,Dados!$D$2:$D$121,4)</f>
        <v/>
      </c>
      <c r="C17" s="15">
        <f>COUNTIFS(Dados!$B$2:$B$121,C$12,Dados!$D$2:$D$121,4)</f>
        <v/>
      </c>
      <c r="D17" s="15">
        <f>COUNTIFS(Dados!$B$2:$B$121,D$12,Dados!$D$2:$D$121,4)</f>
        <v/>
      </c>
      <c r="E17" s="15">
        <f>SUM(B17:D17)</f>
        <v/>
      </c>
    </row>
    <row r="18">
      <c r="A18" s="15" t="inlineStr">
        <is>
          <t>5 de 5</t>
        </is>
      </c>
      <c r="B18" s="15">
        <f>COUNTIFS(Dados!$B$2:$B$121,B$12,Dados!$D$2:$D$121,5)</f>
        <v/>
      </c>
      <c r="C18" s="15">
        <f>COUNTIFS(Dados!$B$2:$B$121,C$12,Dados!$D$2:$D$121,5)</f>
        <v/>
      </c>
      <c r="D18" s="15">
        <f>COUNTIFS(Dados!$B$2:$B$121,D$12,Dados!$D$2:$D$121,5)</f>
        <v/>
      </c>
      <c r="E18" s="15">
        <f>SUM(B18:D18)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6" customWidth="1" min="3" max="3"/>
    <col width="11" customWidth="1" min="4" max="4"/>
    <col width="9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32" customHeight="1">
      <c r="A1" s="13" t="inlineStr">
        <is>
          <t>ID FGV</t>
        </is>
      </c>
      <c r="B1" s="13" t="inlineStr">
        <is>
          <t>Grupo</t>
        </is>
      </c>
      <c r="C1" s="13" t="inlineStr">
        <is>
          <t>UF</t>
        </is>
      </c>
      <c r="D1" s="13" t="inlineStr">
        <is>
          <t>Preços coletados</t>
        </is>
      </c>
      <c r="E1" s="13" t="inlineStr">
        <is>
          <t>Faltam</t>
        </is>
      </c>
      <c r="F1" s="13" t="inlineStr">
        <is>
          <t>Meta (preços)</t>
        </is>
      </c>
      <c r="G1" s="13" t="inlineStr">
        <is>
          <t>% coletado</t>
        </is>
      </c>
      <c r="H1" s="13" t="inlineStr">
        <is>
          <t>Link aproveitável</t>
        </is>
      </c>
      <c r="I1" s="13" t="inlineStr">
        <is>
          <t>Sem preço visível (col. P)</t>
        </is>
      </c>
      <c r="J1" s="13" t="inlineStr">
        <is>
          <t>Status</t>
        </is>
      </c>
    </row>
    <row r="2">
      <c r="A2" s="15" t="n">
        <v>1104</v>
      </c>
      <c r="B2" s="14" t="inlineStr">
        <is>
          <t>EPI / UNIFORME</t>
        </is>
      </c>
      <c r="C2" s="15" t="inlineStr">
        <is>
          <t>GO</t>
        </is>
      </c>
      <c r="D2" s="15" t="n">
        <v>3</v>
      </c>
      <c r="E2" s="15" t="n">
        <v>2</v>
      </c>
      <c r="F2" s="15">
        <f>D2+E2</f>
        <v/>
      </c>
      <c r="G2" s="20">
        <f>IF(F2=0,0,D2/F2)</f>
        <v/>
      </c>
      <c r="H2" s="15" t="n">
        <v>2</v>
      </c>
      <c r="I2" s="15" t="n"/>
      <c r="J2" s="15">
        <f>IF(E2=0,"Completo",IF(D2=0,"Sem preço","Parcial"))</f>
        <v/>
      </c>
    </row>
    <row r="3">
      <c r="A3" s="15" t="n">
        <v>1105</v>
      </c>
      <c r="B3" s="14" t="inlineStr">
        <is>
          <t>EPI / UNIFORME</t>
        </is>
      </c>
      <c r="C3" s="15" t="inlineStr">
        <is>
          <t>GO</t>
        </is>
      </c>
      <c r="D3" s="15" t="n">
        <v>2</v>
      </c>
      <c r="E3" s="15" t="n">
        <v>3</v>
      </c>
      <c r="F3" s="15">
        <f>D3+E3</f>
        <v/>
      </c>
      <c r="G3" s="20">
        <f>IF(F3=0,0,D3/F3)</f>
        <v/>
      </c>
      <c r="H3" s="15" t="n">
        <v>2</v>
      </c>
      <c r="I3" s="15" t="n"/>
      <c r="J3" s="15">
        <f>IF(E3=0,"Completo",IF(D3=0,"Sem preço","Parcial"))</f>
        <v/>
      </c>
    </row>
    <row r="4">
      <c r="A4" s="15" t="n">
        <v>1106</v>
      </c>
      <c r="B4" s="14" t="inlineStr">
        <is>
          <t>EPI / UNIFORME</t>
        </is>
      </c>
      <c r="C4" s="15" t="inlineStr">
        <is>
          <t>GO</t>
        </is>
      </c>
      <c r="D4" s="15" t="n">
        <v>0</v>
      </c>
      <c r="E4" s="15" t="n">
        <v>5</v>
      </c>
      <c r="F4" s="15">
        <f>D4+E4</f>
        <v/>
      </c>
      <c r="G4" s="20">
        <f>IF(F4=0,0,D4/F4)</f>
        <v/>
      </c>
      <c r="H4" s="15" t="n">
        <v>0</v>
      </c>
      <c r="I4" s="15" t="n"/>
      <c r="J4" s="15">
        <f>IF(E4=0,"Completo",IF(D4=0,"Sem preço","Parcial"))</f>
        <v/>
      </c>
    </row>
    <row r="5">
      <c r="A5" s="15" t="n">
        <v>1107</v>
      </c>
      <c r="B5" s="14" t="inlineStr">
        <is>
          <t>EPI / UNIFORME</t>
        </is>
      </c>
      <c r="C5" s="15" t="inlineStr">
        <is>
          <t>GO</t>
        </is>
      </c>
      <c r="D5" s="15" t="n">
        <v>0</v>
      </c>
      <c r="E5" s="15" t="n">
        <v>5</v>
      </c>
      <c r="F5" s="15">
        <f>D5+E5</f>
        <v/>
      </c>
      <c r="G5" s="20">
        <f>IF(F5=0,0,D5/F5)</f>
        <v/>
      </c>
      <c r="H5" s="15" t="n">
        <v>1</v>
      </c>
      <c r="I5" s="15" t="n"/>
      <c r="J5" s="15">
        <f>IF(E5=0,"Completo",IF(D5=0,"Sem preço","Parcial"))</f>
        <v/>
      </c>
    </row>
    <row r="6">
      <c r="A6" s="15" t="n">
        <v>1108</v>
      </c>
      <c r="B6" s="14" t="inlineStr">
        <is>
          <t>EPI / UNIFORME</t>
        </is>
      </c>
      <c r="C6" s="15" t="inlineStr">
        <is>
          <t>GO</t>
        </is>
      </c>
      <c r="D6" s="15" t="n">
        <v>4</v>
      </c>
      <c r="E6" s="15" t="n">
        <v>1</v>
      </c>
      <c r="F6" s="15">
        <f>D6+E6</f>
        <v/>
      </c>
      <c r="G6" s="20">
        <f>IF(F6=0,0,D6/F6)</f>
        <v/>
      </c>
      <c r="H6" s="15" t="n">
        <v>0</v>
      </c>
      <c r="I6" s="15" t="n"/>
      <c r="J6" s="15">
        <f>IF(E6=0,"Completo",IF(D6=0,"Sem preço","Parcial"))</f>
        <v/>
      </c>
    </row>
    <row r="7">
      <c r="A7" s="15" t="n">
        <v>1109</v>
      </c>
      <c r="B7" s="14" t="inlineStr">
        <is>
          <t>EPI / UNIFORME</t>
        </is>
      </c>
      <c r="C7" s="15" t="inlineStr">
        <is>
          <t>GO</t>
        </is>
      </c>
      <c r="D7" s="15" t="n">
        <v>3</v>
      </c>
      <c r="E7" s="15" t="n">
        <v>2</v>
      </c>
      <c r="F7" s="15">
        <f>D7+E7</f>
        <v/>
      </c>
      <c r="G7" s="20">
        <f>IF(F7=0,0,D7/F7)</f>
        <v/>
      </c>
      <c r="H7" s="15" t="n">
        <v>0</v>
      </c>
      <c r="I7" s="15" t="n"/>
      <c r="J7" s="15">
        <f>IF(E7=0,"Completo",IF(D7=0,"Sem preço","Parcial"))</f>
        <v/>
      </c>
    </row>
    <row r="8">
      <c r="A8" s="15" t="n">
        <v>1110</v>
      </c>
      <c r="B8" s="14" t="inlineStr">
        <is>
          <t>EPI / UNIFORME</t>
        </is>
      </c>
      <c r="C8" s="15" t="inlineStr">
        <is>
          <t>GO</t>
        </is>
      </c>
      <c r="D8" s="15" t="n">
        <v>5</v>
      </c>
      <c r="E8" s="15" t="n">
        <v>0</v>
      </c>
      <c r="F8" s="15">
        <f>D8+E8</f>
        <v/>
      </c>
      <c r="G8" s="20">
        <f>IF(F8=0,0,D8/F8)</f>
        <v/>
      </c>
      <c r="H8" s="15" t="n">
        <v>0</v>
      </c>
      <c r="I8" s="15" t="n"/>
      <c r="J8" s="15">
        <f>IF(E8=0,"Completo",IF(D8=0,"Sem preço","Parcial"))</f>
        <v/>
      </c>
    </row>
    <row r="9">
      <c r="A9" s="15" t="n">
        <v>1111</v>
      </c>
      <c r="B9" s="14" t="inlineStr">
        <is>
          <t>EPI / UNIFORME</t>
        </is>
      </c>
      <c r="C9" s="15" t="inlineStr">
        <is>
          <t>GO</t>
        </is>
      </c>
      <c r="D9" s="15" t="n">
        <v>3</v>
      </c>
      <c r="E9" s="15" t="n">
        <v>2</v>
      </c>
      <c r="F9" s="15">
        <f>D9+E9</f>
        <v/>
      </c>
      <c r="G9" s="20">
        <f>IF(F9=0,0,D9/F9)</f>
        <v/>
      </c>
      <c r="H9" s="15" t="n">
        <v>0</v>
      </c>
      <c r="I9" s="15" t="n"/>
      <c r="J9" s="15">
        <f>IF(E9=0,"Completo",IF(D9=0,"Sem preço","Parcial"))</f>
        <v/>
      </c>
    </row>
    <row r="10">
      <c r="A10" s="15" t="n">
        <v>1112</v>
      </c>
      <c r="B10" s="14" t="inlineStr">
        <is>
          <t>EPI / UNIFORME</t>
        </is>
      </c>
      <c r="C10" s="15" t="inlineStr">
        <is>
          <t>GO</t>
        </is>
      </c>
      <c r="D10" s="15" t="n">
        <v>1</v>
      </c>
      <c r="E10" s="15" t="n">
        <v>4</v>
      </c>
      <c r="F10" s="15">
        <f>D10+E10</f>
        <v/>
      </c>
      <c r="G10" s="20">
        <f>IF(F10=0,0,D10/F10)</f>
        <v/>
      </c>
      <c r="H10" s="15" t="n">
        <v>0</v>
      </c>
      <c r="I10" s="15" t="n"/>
      <c r="J10" s="15">
        <f>IF(E10=0,"Completo",IF(D10=0,"Sem preço","Parcial"))</f>
        <v/>
      </c>
    </row>
    <row r="11">
      <c r="A11" s="15" t="n">
        <v>1113</v>
      </c>
      <c r="B11" s="14" t="inlineStr">
        <is>
          <t>EPI / UNIFORME</t>
        </is>
      </c>
      <c r="C11" s="15" t="inlineStr">
        <is>
          <t>GO</t>
        </is>
      </c>
      <c r="D11" s="15" t="n">
        <v>5</v>
      </c>
      <c r="E11" s="15" t="n">
        <v>0</v>
      </c>
      <c r="F11" s="15">
        <f>D11+E11</f>
        <v/>
      </c>
      <c r="G11" s="20">
        <f>IF(F11=0,0,D11/F11)</f>
        <v/>
      </c>
      <c r="H11" s="15" t="n">
        <v>1</v>
      </c>
      <c r="I11" s="15" t="n"/>
      <c r="J11" s="15">
        <f>IF(E11=0,"Completo",IF(D11=0,"Sem preço","Parcial"))</f>
        <v/>
      </c>
    </row>
    <row r="12">
      <c r="A12" s="15" t="n">
        <v>1114</v>
      </c>
      <c r="B12" s="14" t="inlineStr">
        <is>
          <t>EPI / UNIFORME</t>
        </is>
      </c>
      <c r="C12" s="15" t="inlineStr">
        <is>
          <t>GO</t>
        </is>
      </c>
      <c r="D12" s="15" t="n">
        <v>3</v>
      </c>
      <c r="E12" s="15" t="n">
        <v>2</v>
      </c>
      <c r="F12" s="15">
        <f>D12+E12</f>
        <v/>
      </c>
      <c r="G12" s="20">
        <f>IF(F12=0,0,D12/F12)</f>
        <v/>
      </c>
      <c r="H12" s="15" t="n">
        <v>0</v>
      </c>
      <c r="I12" s="15" t="n"/>
      <c r="J12" s="15">
        <f>IF(E12=0,"Completo",IF(D12=0,"Sem preço","Parcial"))</f>
        <v/>
      </c>
    </row>
    <row r="13">
      <c r="A13" s="15" t="n">
        <v>1115</v>
      </c>
      <c r="B13" s="14" t="inlineStr">
        <is>
          <t>EPI / UNIFORME</t>
        </is>
      </c>
      <c r="C13" s="15" t="inlineStr">
        <is>
          <t>GO</t>
        </is>
      </c>
      <c r="D13" s="15" t="n">
        <v>4</v>
      </c>
      <c r="E13" s="15" t="n">
        <v>1</v>
      </c>
      <c r="F13" s="15">
        <f>D13+E13</f>
        <v/>
      </c>
      <c r="G13" s="20">
        <f>IF(F13=0,0,D13/F13)</f>
        <v/>
      </c>
      <c r="H13" s="15" t="n">
        <v>0</v>
      </c>
      <c r="I13" s="15" t="n"/>
      <c r="J13" s="15">
        <f>IF(E13=0,"Completo",IF(D13=0,"Sem preço","Parcial"))</f>
        <v/>
      </c>
    </row>
    <row r="14">
      <c r="A14" s="15" t="n">
        <v>1116</v>
      </c>
      <c r="B14" s="14" t="inlineStr">
        <is>
          <t>EPI / UNIFORME</t>
        </is>
      </c>
      <c r="C14" s="15" t="inlineStr">
        <is>
          <t>GO</t>
        </is>
      </c>
      <c r="D14" s="15" t="n">
        <v>4</v>
      </c>
      <c r="E14" s="15" t="n">
        <v>1</v>
      </c>
      <c r="F14" s="15">
        <f>D14+E14</f>
        <v/>
      </c>
      <c r="G14" s="20">
        <f>IF(F14=0,0,D14/F14)</f>
        <v/>
      </c>
      <c r="H14" s="15" t="n">
        <v>3</v>
      </c>
      <c r="I14" s="15" t="n"/>
      <c r="J14" s="15">
        <f>IF(E14=0,"Completo",IF(D14=0,"Sem preço","Parcial"))</f>
        <v/>
      </c>
    </row>
    <row r="15">
      <c r="A15" s="15" t="n">
        <v>1117</v>
      </c>
      <c r="B15" s="14" t="inlineStr">
        <is>
          <t>EPI / UNIFORME</t>
        </is>
      </c>
      <c r="C15" s="15" t="inlineStr">
        <is>
          <t>GO</t>
        </is>
      </c>
      <c r="D15" s="15" t="n">
        <v>1</v>
      </c>
      <c r="E15" s="15" t="n">
        <v>4</v>
      </c>
      <c r="F15" s="15">
        <f>D15+E15</f>
        <v/>
      </c>
      <c r="G15" s="20">
        <f>IF(F15=0,0,D15/F15)</f>
        <v/>
      </c>
      <c r="H15" s="15" t="n">
        <v>1</v>
      </c>
      <c r="I15" s="15" t="n"/>
      <c r="J15" s="15">
        <f>IF(E15=0,"Completo",IF(D15=0,"Sem preço","Parcial"))</f>
        <v/>
      </c>
    </row>
    <row r="16">
      <c r="A16" s="15" t="n">
        <v>1118</v>
      </c>
      <c r="B16" s="14" t="inlineStr">
        <is>
          <t>EPI / UNIFORME</t>
        </is>
      </c>
      <c r="C16" s="15" t="inlineStr">
        <is>
          <t>GO</t>
        </is>
      </c>
      <c r="D16" s="15" t="n">
        <v>2</v>
      </c>
      <c r="E16" s="15" t="n">
        <v>3</v>
      </c>
      <c r="F16" s="15">
        <f>D16+E16</f>
        <v/>
      </c>
      <c r="G16" s="20">
        <f>IF(F16=0,0,D16/F16)</f>
        <v/>
      </c>
      <c r="H16" s="15" t="n">
        <v>0</v>
      </c>
      <c r="I16" s="15" t="n"/>
      <c r="J16" s="15">
        <f>IF(E16=0,"Completo",IF(D16=0,"Sem preço","Parcial"))</f>
        <v/>
      </c>
    </row>
    <row r="17">
      <c r="A17" s="15" t="n">
        <v>1119</v>
      </c>
      <c r="B17" s="14" t="inlineStr">
        <is>
          <t>EPI / UNIFORME</t>
        </is>
      </c>
      <c r="C17" s="15" t="inlineStr">
        <is>
          <t>GO</t>
        </is>
      </c>
      <c r="D17" s="15" t="n">
        <v>4</v>
      </c>
      <c r="E17" s="15" t="n">
        <v>1</v>
      </c>
      <c r="F17" s="15">
        <f>D17+E17</f>
        <v/>
      </c>
      <c r="G17" s="20">
        <f>IF(F17=0,0,D17/F17)</f>
        <v/>
      </c>
      <c r="H17" s="15" t="n">
        <v>0</v>
      </c>
      <c r="I17" s="15" t="n"/>
      <c r="J17" s="15">
        <f>IF(E17=0,"Completo",IF(D17=0,"Sem preço","Parcial"))</f>
        <v/>
      </c>
    </row>
    <row r="18">
      <c r="A18" s="15" t="n">
        <v>1000</v>
      </c>
      <c r="B18" s="14" t="inlineStr">
        <is>
          <t>LIMPEZA E HIGIENE</t>
        </is>
      </c>
      <c r="C18" s="15" t="inlineStr">
        <is>
          <t>GO</t>
        </is>
      </c>
      <c r="D18" s="15" t="n">
        <v>4</v>
      </c>
      <c r="E18" s="15" t="n">
        <v>1</v>
      </c>
      <c r="F18" s="15">
        <f>D18+E18</f>
        <v/>
      </c>
      <c r="G18" s="20">
        <f>IF(F18=0,0,D18/F18)</f>
        <v/>
      </c>
      <c r="H18" s="15" t="n"/>
      <c r="I18" s="15" t="n">
        <v>0</v>
      </c>
      <c r="J18" s="15">
        <f>IF(E18=0,"Completo",IF(D18=0,"Sem preço","Parcial"))</f>
        <v/>
      </c>
    </row>
    <row r="19">
      <c r="A19" s="15" t="n">
        <v>1001</v>
      </c>
      <c r="B19" s="14" t="inlineStr">
        <is>
          <t>LIMPEZA E HIGIENE</t>
        </is>
      </c>
      <c r="C19" s="15" t="inlineStr">
        <is>
          <t>GO</t>
        </is>
      </c>
      <c r="D19" s="15" t="n">
        <v>3</v>
      </c>
      <c r="E19" s="15" t="n">
        <v>2</v>
      </c>
      <c r="F19" s="15">
        <f>D19+E19</f>
        <v/>
      </c>
      <c r="G19" s="20">
        <f>IF(F19=0,0,D19/F19)</f>
        <v/>
      </c>
      <c r="H19" s="15" t="n"/>
      <c r="I19" s="15" t="n">
        <v>1</v>
      </c>
      <c r="J19" s="15">
        <f>IF(E19=0,"Completo",IF(D19=0,"Sem preço","Parcial"))</f>
        <v/>
      </c>
    </row>
    <row r="20">
      <c r="A20" s="15" t="n">
        <v>1002</v>
      </c>
      <c r="B20" s="14" t="inlineStr">
        <is>
          <t>LIMPEZA E HIGIENE</t>
        </is>
      </c>
      <c r="C20" s="15" t="inlineStr">
        <is>
          <t>GO</t>
        </is>
      </c>
      <c r="D20" s="15" t="n">
        <v>3</v>
      </c>
      <c r="E20" s="15" t="n">
        <v>2</v>
      </c>
      <c r="F20" s="15">
        <f>D20+E20</f>
        <v/>
      </c>
      <c r="G20" s="20">
        <f>IF(F20=0,0,D20/F20)</f>
        <v/>
      </c>
      <c r="H20" s="15" t="n"/>
      <c r="I20" s="15" t="n">
        <v>1</v>
      </c>
      <c r="J20" s="15">
        <f>IF(E20=0,"Completo",IF(D20=0,"Sem preço","Parcial"))</f>
        <v/>
      </c>
    </row>
    <row r="21">
      <c r="A21" s="15" t="n">
        <v>1003</v>
      </c>
      <c r="B21" s="14" t="inlineStr">
        <is>
          <t>LIMPEZA E HIGIENE</t>
        </is>
      </c>
      <c r="C21" s="15" t="inlineStr">
        <is>
          <t>GO</t>
        </is>
      </c>
      <c r="D21" s="15" t="n">
        <v>4</v>
      </c>
      <c r="E21" s="15" t="n">
        <v>1</v>
      </c>
      <c r="F21" s="15">
        <f>D21+E21</f>
        <v/>
      </c>
      <c r="G21" s="20">
        <f>IF(F21=0,0,D21/F21)</f>
        <v/>
      </c>
      <c r="H21" s="15" t="n"/>
      <c r="I21" s="15" t="n">
        <v>1</v>
      </c>
      <c r="J21" s="15">
        <f>IF(E21=0,"Completo",IF(D21=0,"Sem preço","Parcial"))</f>
        <v/>
      </c>
    </row>
    <row r="22">
      <c r="A22" s="15" t="n">
        <v>1004</v>
      </c>
      <c r="B22" s="14" t="inlineStr">
        <is>
          <t>LIMPEZA E HIGIENE</t>
        </is>
      </c>
      <c r="C22" s="15" t="inlineStr">
        <is>
          <t>GO</t>
        </is>
      </c>
      <c r="D22" s="15" t="n">
        <v>5</v>
      </c>
      <c r="E22" s="15" t="n">
        <v>0</v>
      </c>
      <c r="F22" s="15">
        <f>D22+E22</f>
        <v/>
      </c>
      <c r="G22" s="20">
        <f>IF(F22=0,0,D22/F22)</f>
        <v/>
      </c>
      <c r="H22" s="15" t="n"/>
      <c r="I22" s="15" t="n">
        <v>0</v>
      </c>
      <c r="J22" s="15">
        <f>IF(E22=0,"Completo",IF(D22=0,"Sem preço","Parcial"))</f>
        <v/>
      </c>
    </row>
    <row r="23">
      <c r="A23" s="15" t="n">
        <v>1005</v>
      </c>
      <c r="B23" s="14" t="inlineStr">
        <is>
          <t>LIMPEZA E HIGIENE</t>
        </is>
      </c>
      <c r="C23" s="15" t="inlineStr">
        <is>
          <t>GO</t>
        </is>
      </c>
      <c r="D23" s="15" t="n">
        <v>0</v>
      </c>
      <c r="E23" s="15" t="n">
        <v>5</v>
      </c>
      <c r="F23" s="15">
        <f>D23+E23</f>
        <v/>
      </c>
      <c r="G23" s="20">
        <f>IF(F23=0,0,D23/F23)</f>
        <v/>
      </c>
      <c r="H23" s="15" t="n"/>
      <c r="I23" s="15" t="n">
        <v>0</v>
      </c>
      <c r="J23" s="15">
        <f>IF(E23=0,"Completo",IF(D23=0,"Sem preço","Parcial"))</f>
        <v/>
      </c>
    </row>
    <row r="24">
      <c r="A24" s="15" t="n">
        <v>1006</v>
      </c>
      <c r="B24" s="14" t="inlineStr">
        <is>
          <t>LIMPEZA E HIGIENE</t>
        </is>
      </c>
      <c r="C24" s="15" t="inlineStr">
        <is>
          <t>GO</t>
        </is>
      </c>
      <c r="D24" s="15" t="n">
        <v>0</v>
      </c>
      <c r="E24" s="15" t="n">
        <v>5</v>
      </c>
      <c r="F24" s="15">
        <f>D24+E24</f>
        <v/>
      </c>
      <c r="G24" s="20">
        <f>IF(F24=0,0,D24/F24)</f>
        <v/>
      </c>
      <c r="H24" s="15" t="n"/>
      <c r="I24" s="15" t="n">
        <v>0</v>
      </c>
      <c r="J24" s="15">
        <f>IF(E24=0,"Completo",IF(D24=0,"Sem preço","Parcial"))</f>
        <v/>
      </c>
    </row>
    <row r="25">
      <c r="A25" s="15" t="n">
        <v>1007</v>
      </c>
      <c r="B25" s="14" t="inlineStr">
        <is>
          <t>LIMPEZA E HIGIENE</t>
        </is>
      </c>
      <c r="C25" s="15" t="inlineStr">
        <is>
          <t>GO</t>
        </is>
      </c>
      <c r="D25" s="15" t="n">
        <v>1</v>
      </c>
      <c r="E25" s="15" t="n">
        <v>4</v>
      </c>
      <c r="F25" s="15">
        <f>D25+E25</f>
        <v/>
      </c>
      <c r="G25" s="20">
        <f>IF(F25=0,0,D25/F25)</f>
        <v/>
      </c>
      <c r="H25" s="15" t="n"/>
      <c r="I25" s="15" t="n">
        <v>0</v>
      </c>
      <c r="J25" s="15">
        <f>IF(E25=0,"Completo",IF(D25=0,"Sem preço","Parcial"))</f>
        <v/>
      </c>
    </row>
    <row r="26">
      <c r="A26" s="15" t="n">
        <v>1008</v>
      </c>
      <c r="B26" s="14" t="inlineStr">
        <is>
          <t>LIMPEZA E HIGIENE</t>
        </is>
      </c>
      <c r="C26" s="15" t="inlineStr">
        <is>
          <t>GO</t>
        </is>
      </c>
      <c r="D26" s="15" t="n">
        <v>3</v>
      </c>
      <c r="E26" s="15" t="n">
        <v>2</v>
      </c>
      <c r="F26" s="15">
        <f>D26+E26</f>
        <v/>
      </c>
      <c r="G26" s="20">
        <f>IF(F26=0,0,D26/F26)</f>
        <v/>
      </c>
      <c r="H26" s="15" t="n"/>
      <c r="I26" s="15" t="n">
        <v>1</v>
      </c>
      <c r="J26" s="15">
        <f>IF(E26=0,"Completo",IF(D26=0,"Sem preço","Parcial"))</f>
        <v/>
      </c>
    </row>
    <row r="27">
      <c r="A27" s="15" t="n">
        <v>1009</v>
      </c>
      <c r="B27" s="14" t="inlineStr">
        <is>
          <t>LIMPEZA E HIGIENE</t>
        </is>
      </c>
      <c r="C27" s="15" t="inlineStr">
        <is>
          <t>GO</t>
        </is>
      </c>
      <c r="D27" s="15" t="n">
        <v>4</v>
      </c>
      <c r="E27" s="15" t="n">
        <v>1</v>
      </c>
      <c r="F27" s="15">
        <f>D27+E27</f>
        <v/>
      </c>
      <c r="G27" s="20">
        <f>IF(F27=0,0,D27/F27)</f>
        <v/>
      </c>
      <c r="H27" s="15" t="n"/>
      <c r="I27" s="15" t="n">
        <v>0</v>
      </c>
      <c r="J27" s="15">
        <f>IF(E27=0,"Completo",IF(D27=0,"Sem preço","Parcial"))</f>
        <v/>
      </c>
    </row>
    <row r="28">
      <c r="A28" s="15" t="n">
        <v>1010</v>
      </c>
      <c r="B28" s="14" t="inlineStr">
        <is>
          <t>LIMPEZA E HIGIENE</t>
        </is>
      </c>
      <c r="C28" s="15" t="inlineStr">
        <is>
          <t>GO</t>
        </is>
      </c>
      <c r="D28" s="15" t="n">
        <v>2</v>
      </c>
      <c r="E28" s="15" t="n">
        <v>3</v>
      </c>
      <c r="F28" s="15">
        <f>D28+E28</f>
        <v/>
      </c>
      <c r="G28" s="20">
        <f>IF(F28=0,0,D28/F28)</f>
        <v/>
      </c>
      <c r="H28" s="15" t="n"/>
      <c r="I28" s="15" t="n">
        <v>0</v>
      </c>
      <c r="J28" s="15">
        <f>IF(E28=0,"Completo",IF(D28=0,"Sem preço","Parcial"))</f>
        <v/>
      </c>
    </row>
    <row r="29">
      <c r="A29" s="15" t="n">
        <v>1011</v>
      </c>
      <c r="B29" s="14" t="inlineStr">
        <is>
          <t>LIMPEZA E HIGIENE</t>
        </is>
      </c>
      <c r="C29" s="15" t="inlineStr">
        <is>
          <t>GO</t>
        </is>
      </c>
      <c r="D29" s="15" t="n">
        <v>3</v>
      </c>
      <c r="E29" s="15" t="n">
        <v>2</v>
      </c>
      <c r="F29" s="15">
        <f>D29+E29</f>
        <v/>
      </c>
      <c r="G29" s="20">
        <f>IF(F29=0,0,D29/F29)</f>
        <v/>
      </c>
      <c r="H29" s="15" t="n"/>
      <c r="I29" s="15" t="n">
        <v>0</v>
      </c>
      <c r="J29" s="15">
        <f>IF(E29=0,"Completo",IF(D29=0,"Sem preço","Parcial"))</f>
        <v/>
      </c>
    </row>
    <row r="30">
      <c r="A30" s="15" t="n">
        <v>1012</v>
      </c>
      <c r="B30" s="14" t="inlineStr">
        <is>
          <t>LIMPEZA E HIGIENE</t>
        </is>
      </c>
      <c r="C30" s="15" t="inlineStr">
        <is>
          <t>GO</t>
        </is>
      </c>
      <c r="D30" s="15" t="n">
        <v>3</v>
      </c>
      <c r="E30" s="15" t="n">
        <v>2</v>
      </c>
      <c r="F30" s="15">
        <f>D30+E30</f>
        <v/>
      </c>
      <c r="G30" s="20">
        <f>IF(F30=0,0,D30/F30)</f>
        <v/>
      </c>
      <c r="H30" s="15" t="n"/>
      <c r="I30" s="15" t="n">
        <v>0</v>
      </c>
      <c r="J30" s="15">
        <f>IF(E30=0,"Completo",IF(D30=0,"Sem preço","Parcial"))</f>
        <v/>
      </c>
    </row>
    <row r="31">
      <c r="A31" s="15" t="n">
        <v>1013</v>
      </c>
      <c r="B31" s="14" t="inlineStr">
        <is>
          <t>LIMPEZA E HIGIENE</t>
        </is>
      </c>
      <c r="C31" s="15" t="inlineStr">
        <is>
          <t>GO</t>
        </is>
      </c>
      <c r="D31" s="15" t="n">
        <v>1</v>
      </c>
      <c r="E31" s="15" t="n">
        <v>4</v>
      </c>
      <c r="F31" s="15">
        <f>D31+E31</f>
        <v/>
      </c>
      <c r="G31" s="20">
        <f>IF(F31=0,0,D31/F31)</f>
        <v/>
      </c>
      <c r="H31" s="15" t="n"/>
      <c r="I31" s="15" t="n">
        <v>0</v>
      </c>
      <c r="J31" s="15">
        <f>IF(E31=0,"Completo",IF(D31=0,"Sem preço","Parcial"))</f>
        <v/>
      </c>
    </row>
    <row r="32">
      <c r="A32" s="15" t="n">
        <v>1014</v>
      </c>
      <c r="B32" s="14" t="inlineStr">
        <is>
          <t>LIMPEZA E HIGIENE</t>
        </is>
      </c>
      <c r="C32" s="15" t="inlineStr">
        <is>
          <t>GO</t>
        </is>
      </c>
      <c r="D32" s="15" t="n">
        <v>2</v>
      </c>
      <c r="E32" s="15" t="n">
        <v>3</v>
      </c>
      <c r="F32" s="15">
        <f>D32+E32</f>
        <v/>
      </c>
      <c r="G32" s="20">
        <f>IF(F32=0,0,D32/F32)</f>
        <v/>
      </c>
      <c r="H32" s="15" t="n"/>
      <c r="I32" s="15" t="n">
        <v>0</v>
      </c>
      <c r="J32" s="15">
        <f>IF(E32=0,"Completo",IF(D32=0,"Sem preço","Parcial"))</f>
        <v/>
      </c>
    </row>
    <row r="33">
      <c r="A33" s="15" t="n">
        <v>1015</v>
      </c>
      <c r="B33" s="14" t="inlineStr">
        <is>
          <t>LIMPEZA E HIGIENE</t>
        </is>
      </c>
      <c r="C33" s="15" t="inlineStr">
        <is>
          <t>GO</t>
        </is>
      </c>
      <c r="D33" s="15" t="n">
        <v>1</v>
      </c>
      <c r="E33" s="15" t="n">
        <v>4</v>
      </c>
      <c r="F33" s="15">
        <f>D33+E33</f>
        <v/>
      </c>
      <c r="G33" s="20">
        <f>IF(F33=0,0,D33/F33)</f>
        <v/>
      </c>
      <c r="H33" s="15" t="n"/>
      <c r="I33" s="15" t="n">
        <v>0</v>
      </c>
      <c r="J33" s="15">
        <f>IF(E33=0,"Completo",IF(D33=0,"Sem preço","Parcial"))</f>
        <v/>
      </c>
    </row>
    <row r="34">
      <c r="A34" s="15" t="n">
        <v>1016</v>
      </c>
      <c r="B34" s="14" t="inlineStr">
        <is>
          <t>LIMPEZA E HIGIENE</t>
        </is>
      </c>
      <c r="C34" s="15" t="inlineStr">
        <is>
          <t>GO</t>
        </is>
      </c>
      <c r="D34" s="15" t="n">
        <v>4</v>
      </c>
      <c r="E34" s="15" t="n">
        <v>1</v>
      </c>
      <c r="F34" s="15">
        <f>D34+E34</f>
        <v/>
      </c>
      <c r="G34" s="20">
        <f>IF(F34=0,0,D34/F34)</f>
        <v/>
      </c>
      <c r="H34" s="15" t="n"/>
      <c r="I34" s="15" t="n">
        <v>0</v>
      </c>
      <c r="J34" s="15">
        <f>IF(E34=0,"Completo",IF(D34=0,"Sem preço","Parcial"))</f>
        <v/>
      </c>
    </row>
    <row r="35">
      <c r="A35" s="15" t="n">
        <v>1017</v>
      </c>
      <c r="B35" s="14" t="inlineStr">
        <is>
          <t>LIMPEZA E HIGIENE</t>
        </is>
      </c>
      <c r="C35" s="15" t="inlineStr">
        <is>
          <t>GO</t>
        </is>
      </c>
      <c r="D35" s="15" t="n">
        <v>4</v>
      </c>
      <c r="E35" s="15" t="n">
        <v>1</v>
      </c>
      <c r="F35" s="15">
        <f>D35+E35</f>
        <v/>
      </c>
      <c r="G35" s="20">
        <f>IF(F35=0,0,D35/F35)</f>
        <v/>
      </c>
      <c r="H35" s="15" t="n"/>
      <c r="I35" s="15" t="n">
        <v>0</v>
      </c>
      <c r="J35" s="15">
        <f>IF(E35=0,"Completo",IF(D35=0,"Sem preço","Parcial"))</f>
        <v/>
      </c>
    </row>
    <row r="36">
      <c r="A36" s="15" t="n">
        <v>1018</v>
      </c>
      <c r="B36" s="14" t="inlineStr">
        <is>
          <t>LIMPEZA E HIGIENE</t>
        </is>
      </c>
      <c r="C36" s="15" t="inlineStr">
        <is>
          <t>GO</t>
        </is>
      </c>
      <c r="D36" s="15" t="n">
        <v>3</v>
      </c>
      <c r="E36" s="15" t="n">
        <v>2</v>
      </c>
      <c r="F36" s="15">
        <f>D36+E36</f>
        <v/>
      </c>
      <c r="G36" s="20">
        <f>IF(F36=0,0,D36/F36)</f>
        <v/>
      </c>
      <c r="H36" s="15" t="n"/>
      <c r="I36" s="15" t="n">
        <v>1</v>
      </c>
      <c r="J36" s="15">
        <f>IF(E36=0,"Completo",IF(D36=0,"Sem preço","Parcial"))</f>
        <v/>
      </c>
    </row>
    <row r="37">
      <c r="A37" s="15" t="n">
        <v>1019</v>
      </c>
      <c r="B37" s="14" t="inlineStr">
        <is>
          <t>LIMPEZA E HIGIENE</t>
        </is>
      </c>
      <c r="C37" s="15" t="inlineStr">
        <is>
          <t>GO</t>
        </is>
      </c>
      <c r="D37" s="15" t="n">
        <v>4</v>
      </c>
      <c r="E37" s="15" t="n">
        <v>1</v>
      </c>
      <c r="F37" s="15">
        <f>D37+E37</f>
        <v/>
      </c>
      <c r="G37" s="20">
        <f>IF(F37=0,0,D37/F37)</f>
        <v/>
      </c>
      <c r="H37" s="15" t="n"/>
      <c r="I37" s="15" t="n">
        <v>0</v>
      </c>
      <c r="J37" s="15">
        <f>IF(E37=0,"Completo",IF(D37=0,"Sem preço","Parcial"))</f>
        <v/>
      </c>
    </row>
    <row r="38">
      <c r="A38" s="15" t="n">
        <v>1020</v>
      </c>
      <c r="B38" s="14" t="inlineStr">
        <is>
          <t>LIMPEZA E HIGIENE</t>
        </is>
      </c>
      <c r="C38" s="15" t="inlineStr">
        <is>
          <t>GO</t>
        </is>
      </c>
      <c r="D38" s="15" t="n">
        <v>4</v>
      </c>
      <c r="E38" s="15" t="n">
        <v>1</v>
      </c>
      <c r="F38" s="15">
        <f>D38+E38</f>
        <v/>
      </c>
      <c r="G38" s="20">
        <f>IF(F38=0,0,D38/F38)</f>
        <v/>
      </c>
      <c r="H38" s="15" t="n"/>
      <c r="I38" s="15" t="n">
        <v>0</v>
      </c>
      <c r="J38" s="15">
        <f>IF(E38=0,"Completo",IF(D38=0,"Sem preço","Parcial"))</f>
        <v/>
      </c>
    </row>
    <row r="39">
      <c r="A39" s="15" t="n">
        <v>1021</v>
      </c>
      <c r="B39" s="14" t="inlineStr">
        <is>
          <t>LIMPEZA E HIGIENE</t>
        </is>
      </c>
      <c r="C39" s="15" t="inlineStr">
        <is>
          <t>GO</t>
        </is>
      </c>
      <c r="D39" s="15" t="n">
        <v>4</v>
      </c>
      <c r="E39" s="15" t="n">
        <v>1</v>
      </c>
      <c r="F39" s="15">
        <f>D39+E39</f>
        <v/>
      </c>
      <c r="G39" s="20">
        <f>IF(F39=0,0,D39/F39)</f>
        <v/>
      </c>
      <c r="H39" s="15" t="n"/>
      <c r="I39" s="15" t="n">
        <v>1</v>
      </c>
      <c r="J39" s="15">
        <f>IF(E39=0,"Completo",IF(D39=0,"Sem preço","Parcial"))</f>
        <v/>
      </c>
    </row>
    <row r="40">
      <c r="A40" s="15" t="n">
        <v>1022</v>
      </c>
      <c r="B40" s="14" t="inlineStr">
        <is>
          <t>LIMPEZA E HIGIENE</t>
        </is>
      </c>
      <c r="C40" s="15" t="inlineStr">
        <is>
          <t>GO</t>
        </is>
      </c>
      <c r="D40" s="15" t="n">
        <v>3</v>
      </c>
      <c r="E40" s="15" t="n">
        <v>2</v>
      </c>
      <c r="F40" s="15">
        <f>D40+E40</f>
        <v/>
      </c>
      <c r="G40" s="20">
        <f>IF(F40=0,0,D40/F40)</f>
        <v/>
      </c>
      <c r="H40" s="15" t="n"/>
      <c r="I40" s="15" t="n">
        <v>0</v>
      </c>
      <c r="J40" s="15">
        <f>IF(E40=0,"Completo",IF(D40=0,"Sem preço","Parcial"))</f>
        <v/>
      </c>
    </row>
    <row r="41">
      <c r="A41" s="15" t="n">
        <v>1023</v>
      </c>
      <c r="B41" s="14" t="inlineStr">
        <is>
          <t>LIMPEZA E HIGIENE</t>
        </is>
      </c>
      <c r="C41" s="15" t="inlineStr">
        <is>
          <t>GO</t>
        </is>
      </c>
      <c r="D41" s="15" t="n">
        <v>2</v>
      </c>
      <c r="E41" s="15" t="n">
        <v>3</v>
      </c>
      <c r="F41" s="15">
        <f>D41+E41</f>
        <v/>
      </c>
      <c r="G41" s="20">
        <f>IF(F41=0,0,D41/F41)</f>
        <v/>
      </c>
      <c r="H41" s="15" t="n"/>
      <c r="I41" s="15" t="n">
        <v>0</v>
      </c>
      <c r="J41" s="15">
        <f>IF(E41=0,"Completo",IF(D41=0,"Sem preço","Parcial"))</f>
        <v/>
      </c>
    </row>
    <row r="42">
      <c r="A42" s="15" t="n">
        <v>1024</v>
      </c>
      <c r="B42" s="14" t="inlineStr">
        <is>
          <t>LIMPEZA E HIGIENE</t>
        </is>
      </c>
      <c r="C42" s="15" t="inlineStr">
        <is>
          <t>GO</t>
        </is>
      </c>
      <c r="D42" s="15" t="n">
        <v>2</v>
      </c>
      <c r="E42" s="15" t="n">
        <v>3</v>
      </c>
      <c r="F42" s="15">
        <f>D42+E42</f>
        <v/>
      </c>
      <c r="G42" s="20">
        <f>IF(F42=0,0,D42/F42)</f>
        <v/>
      </c>
      <c r="H42" s="15" t="n"/>
      <c r="I42" s="15" t="n">
        <v>1</v>
      </c>
      <c r="J42" s="15">
        <f>IF(E42=0,"Completo",IF(D42=0,"Sem preço","Parcial"))</f>
        <v/>
      </c>
    </row>
    <row r="43">
      <c r="A43" s="15" t="n">
        <v>1025</v>
      </c>
      <c r="B43" s="14" t="inlineStr">
        <is>
          <t>LIMPEZA E HIGIENE</t>
        </is>
      </c>
      <c r="C43" s="15" t="inlineStr">
        <is>
          <t>GO</t>
        </is>
      </c>
      <c r="D43" s="15" t="n">
        <v>2</v>
      </c>
      <c r="E43" s="15" t="n">
        <v>3</v>
      </c>
      <c r="F43" s="15">
        <f>D43+E43</f>
        <v/>
      </c>
      <c r="G43" s="20">
        <f>IF(F43=0,0,D43/F43)</f>
        <v/>
      </c>
      <c r="H43" s="15" t="n"/>
      <c r="I43" s="15" t="n">
        <v>0</v>
      </c>
      <c r="J43" s="15">
        <f>IF(E43=0,"Completo",IF(D43=0,"Sem preço","Parcial"))</f>
        <v/>
      </c>
    </row>
    <row r="44">
      <c r="A44" s="15" t="n">
        <v>1026</v>
      </c>
      <c r="B44" s="14" t="inlineStr">
        <is>
          <t>LIMPEZA E HIGIENE</t>
        </is>
      </c>
      <c r="C44" s="15" t="inlineStr">
        <is>
          <t>GO</t>
        </is>
      </c>
      <c r="D44" s="15" t="n">
        <v>3</v>
      </c>
      <c r="E44" s="15" t="n">
        <v>2</v>
      </c>
      <c r="F44" s="15">
        <f>D44+E44</f>
        <v/>
      </c>
      <c r="G44" s="20">
        <f>IF(F44=0,0,D44/F44)</f>
        <v/>
      </c>
      <c r="H44" s="15" t="n"/>
      <c r="I44" s="15" t="n">
        <v>0</v>
      </c>
      <c r="J44" s="15">
        <f>IF(E44=0,"Completo",IF(D44=0,"Sem preço","Parcial"))</f>
        <v/>
      </c>
    </row>
    <row r="45">
      <c r="A45" s="15" t="n">
        <v>1027</v>
      </c>
      <c r="B45" s="14" t="inlineStr">
        <is>
          <t>LIMPEZA E HIGIENE</t>
        </is>
      </c>
      <c r="C45" s="15" t="inlineStr">
        <is>
          <t>GO</t>
        </is>
      </c>
      <c r="D45" s="15" t="n">
        <v>5</v>
      </c>
      <c r="E45" s="15" t="n">
        <v>0</v>
      </c>
      <c r="F45" s="15">
        <f>D45+E45</f>
        <v/>
      </c>
      <c r="G45" s="20">
        <f>IF(F45=0,0,D45/F45)</f>
        <v/>
      </c>
      <c r="H45" s="15" t="n"/>
      <c r="I45" s="15" t="n">
        <v>0</v>
      </c>
      <c r="J45" s="15">
        <f>IF(E45=0,"Completo",IF(D45=0,"Sem preço","Parcial"))</f>
        <v/>
      </c>
    </row>
    <row r="46">
      <c r="A46" s="15" t="n">
        <v>1028</v>
      </c>
      <c r="B46" s="14" t="inlineStr">
        <is>
          <t>LIMPEZA E HIGIENE</t>
        </is>
      </c>
      <c r="C46" s="15" t="inlineStr">
        <is>
          <t>GO</t>
        </is>
      </c>
      <c r="D46" s="15" t="n">
        <v>3</v>
      </c>
      <c r="E46" s="15" t="n">
        <v>2</v>
      </c>
      <c r="F46" s="15">
        <f>D46+E46</f>
        <v/>
      </c>
      <c r="G46" s="20">
        <f>IF(F46=0,0,D46/F46)</f>
        <v/>
      </c>
      <c r="H46" s="15" t="n"/>
      <c r="I46" s="15" t="n">
        <v>0</v>
      </c>
      <c r="J46" s="15">
        <f>IF(E46=0,"Completo",IF(D46=0,"Sem preço","Parcial"))</f>
        <v/>
      </c>
    </row>
    <row r="47">
      <c r="A47" s="15" t="n">
        <v>1029</v>
      </c>
      <c r="B47" s="14" t="inlineStr">
        <is>
          <t>LIMPEZA E HIGIENE</t>
        </is>
      </c>
      <c r="C47" s="15" t="inlineStr">
        <is>
          <t>GO</t>
        </is>
      </c>
      <c r="D47" s="15" t="n">
        <v>3</v>
      </c>
      <c r="E47" s="15" t="n">
        <v>2</v>
      </c>
      <c r="F47" s="15">
        <f>D47+E47</f>
        <v/>
      </c>
      <c r="G47" s="20">
        <f>IF(F47=0,0,D47/F47)</f>
        <v/>
      </c>
      <c r="H47" s="15" t="n"/>
      <c r="I47" s="15" t="n">
        <v>0</v>
      </c>
      <c r="J47" s="15">
        <f>IF(E47=0,"Completo",IF(D47=0,"Sem preço","Parcial"))</f>
        <v/>
      </c>
    </row>
    <row r="48">
      <c r="A48" s="15" t="n">
        <v>1030</v>
      </c>
      <c r="B48" s="14" t="inlineStr">
        <is>
          <t>LIMPEZA E HIGIENE</t>
        </is>
      </c>
      <c r="C48" s="15" t="inlineStr">
        <is>
          <t>GO</t>
        </is>
      </c>
      <c r="D48" s="15" t="n">
        <v>1</v>
      </c>
      <c r="E48" s="15" t="n">
        <v>4</v>
      </c>
      <c r="F48" s="15">
        <f>D48+E48</f>
        <v/>
      </c>
      <c r="G48" s="20">
        <f>IF(F48=0,0,D48/F48)</f>
        <v/>
      </c>
      <c r="H48" s="15" t="n"/>
      <c r="I48" s="15" t="n">
        <v>0</v>
      </c>
      <c r="J48" s="15">
        <f>IF(E48=0,"Completo",IF(D48=0,"Sem preço","Parcial"))</f>
        <v/>
      </c>
    </row>
    <row r="49">
      <c r="A49" s="15" t="n">
        <v>1031</v>
      </c>
      <c r="B49" s="14" t="inlineStr">
        <is>
          <t>LIMPEZA E HIGIENE</t>
        </is>
      </c>
      <c r="C49" s="15" t="inlineStr">
        <is>
          <t>GO</t>
        </is>
      </c>
      <c r="D49" s="15" t="n">
        <v>3</v>
      </c>
      <c r="E49" s="15" t="n">
        <v>2</v>
      </c>
      <c r="F49" s="15">
        <f>D49+E49</f>
        <v/>
      </c>
      <c r="G49" s="20">
        <f>IF(F49=0,0,D49/F49)</f>
        <v/>
      </c>
      <c r="H49" s="15" t="n"/>
      <c r="I49" s="15" t="n">
        <v>0</v>
      </c>
      <c r="J49" s="15">
        <f>IF(E49=0,"Completo",IF(D49=0,"Sem preço","Parcial"))</f>
        <v/>
      </c>
    </row>
    <row r="50">
      <c r="A50" s="15" t="n">
        <v>1032</v>
      </c>
      <c r="B50" s="14" t="inlineStr">
        <is>
          <t>LIMPEZA E HIGIENE</t>
        </is>
      </c>
      <c r="C50" s="15" t="inlineStr">
        <is>
          <t>GO</t>
        </is>
      </c>
      <c r="D50" s="15" t="n">
        <v>4</v>
      </c>
      <c r="E50" s="15" t="n">
        <v>1</v>
      </c>
      <c r="F50" s="15">
        <f>D50+E50</f>
        <v/>
      </c>
      <c r="G50" s="20">
        <f>IF(F50=0,0,D50/F50)</f>
        <v/>
      </c>
      <c r="H50" s="15" t="n"/>
      <c r="I50" s="15" t="n">
        <v>0</v>
      </c>
      <c r="J50" s="15">
        <f>IF(E50=0,"Completo",IF(D50=0,"Sem preço","Parcial"))</f>
        <v/>
      </c>
    </row>
    <row r="51">
      <c r="A51" s="15" t="n">
        <v>1033</v>
      </c>
      <c r="B51" s="14" t="inlineStr">
        <is>
          <t>LIMPEZA E HIGIENE</t>
        </is>
      </c>
      <c r="C51" s="15" t="inlineStr">
        <is>
          <t>GO</t>
        </is>
      </c>
      <c r="D51" s="15" t="n">
        <v>4</v>
      </c>
      <c r="E51" s="15" t="n">
        <v>1</v>
      </c>
      <c r="F51" s="15">
        <f>D51+E51</f>
        <v/>
      </c>
      <c r="G51" s="20">
        <f>IF(F51=0,0,D51/F51)</f>
        <v/>
      </c>
      <c r="H51" s="15" t="n"/>
      <c r="I51" s="15" t="n">
        <v>0</v>
      </c>
      <c r="J51" s="15">
        <f>IF(E51=0,"Completo",IF(D51=0,"Sem preço","Parcial"))</f>
        <v/>
      </c>
    </row>
    <row r="52">
      <c r="A52" s="15" t="n">
        <v>1034</v>
      </c>
      <c r="B52" s="14" t="inlineStr">
        <is>
          <t>LIMPEZA E HIGIENE</t>
        </is>
      </c>
      <c r="C52" s="15" t="inlineStr">
        <is>
          <t>GO</t>
        </is>
      </c>
      <c r="D52" s="15" t="n">
        <v>4</v>
      </c>
      <c r="E52" s="15" t="n">
        <v>1</v>
      </c>
      <c r="F52" s="15">
        <f>D52+E52</f>
        <v/>
      </c>
      <c r="G52" s="20">
        <f>IF(F52=0,0,D52/F52)</f>
        <v/>
      </c>
      <c r="H52" s="15" t="n"/>
      <c r="I52" s="15" t="n">
        <v>1</v>
      </c>
      <c r="J52" s="15">
        <f>IF(E52=0,"Completo",IF(D52=0,"Sem preço","Parcial"))</f>
        <v/>
      </c>
    </row>
    <row r="53">
      <c r="A53" s="15" t="n">
        <v>1035</v>
      </c>
      <c r="B53" s="14" t="inlineStr">
        <is>
          <t>LIMPEZA E HIGIENE</t>
        </is>
      </c>
      <c r="C53" s="15" t="inlineStr">
        <is>
          <t>GO</t>
        </is>
      </c>
      <c r="D53" s="15" t="n">
        <v>3</v>
      </c>
      <c r="E53" s="15" t="n">
        <v>2</v>
      </c>
      <c r="F53" s="15">
        <f>D53+E53</f>
        <v/>
      </c>
      <c r="G53" s="20">
        <f>IF(F53=0,0,D53/F53)</f>
        <v/>
      </c>
      <c r="H53" s="15" t="n"/>
      <c r="I53" s="15" t="n">
        <v>0</v>
      </c>
      <c r="J53" s="15">
        <f>IF(E53=0,"Completo",IF(D53=0,"Sem preço","Parcial"))</f>
        <v/>
      </c>
    </row>
    <row r="54">
      <c r="A54" s="15" t="n">
        <v>1036</v>
      </c>
      <c r="B54" s="14" t="inlineStr">
        <is>
          <t>LIMPEZA E HIGIENE</t>
        </is>
      </c>
      <c r="C54" s="15" t="inlineStr">
        <is>
          <t>GO</t>
        </is>
      </c>
      <c r="D54" s="15" t="n">
        <v>3</v>
      </c>
      <c r="E54" s="15" t="n">
        <v>2</v>
      </c>
      <c r="F54" s="15">
        <f>D54+E54</f>
        <v/>
      </c>
      <c r="G54" s="20">
        <f>IF(F54=0,0,D54/F54)</f>
        <v/>
      </c>
      <c r="H54" s="15" t="n"/>
      <c r="I54" s="15" t="n">
        <v>1</v>
      </c>
      <c r="J54" s="15">
        <f>IF(E54=0,"Completo",IF(D54=0,"Sem preço","Parcial"))</f>
        <v/>
      </c>
    </row>
    <row r="55">
      <c r="A55" s="15" t="n">
        <v>1037</v>
      </c>
      <c r="B55" s="14" t="inlineStr">
        <is>
          <t>LIMPEZA E HIGIENE</t>
        </is>
      </c>
      <c r="C55" s="15" t="inlineStr">
        <is>
          <t>GO</t>
        </is>
      </c>
      <c r="D55" s="15" t="n">
        <v>2</v>
      </c>
      <c r="E55" s="15" t="n">
        <v>3</v>
      </c>
      <c r="F55" s="15">
        <f>D55+E55</f>
        <v/>
      </c>
      <c r="G55" s="20">
        <f>IF(F55=0,0,D55/F55)</f>
        <v/>
      </c>
      <c r="H55" s="15" t="n"/>
      <c r="I55" s="15" t="n">
        <v>1</v>
      </c>
      <c r="J55" s="15">
        <f>IF(E55=0,"Completo",IF(D55=0,"Sem preço","Parcial"))</f>
        <v/>
      </c>
    </row>
    <row r="56">
      <c r="A56" s="15" t="n">
        <v>1038</v>
      </c>
      <c r="B56" s="14" t="inlineStr">
        <is>
          <t>LIMPEZA E HIGIENE</t>
        </is>
      </c>
      <c r="C56" s="15" t="inlineStr">
        <is>
          <t>GO</t>
        </is>
      </c>
      <c r="D56" s="15" t="n">
        <v>4</v>
      </c>
      <c r="E56" s="15" t="n">
        <v>1</v>
      </c>
      <c r="F56" s="15">
        <f>D56+E56</f>
        <v/>
      </c>
      <c r="G56" s="20">
        <f>IF(F56=0,0,D56/F56)</f>
        <v/>
      </c>
      <c r="H56" s="15" t="n"/>
      <c r="I56" s="15" t="n">
        <v>0</v>
      </c>
      <c r="J56" s="15">
        <f>IF(E56=0,"Completo",IF(D56=0,"Sem preço","Parcial"))</f>
        <v/>
      </c>
    </row>
    <row r="57">
      <c r="A57" s="15" t="n">
        <v>1039</v>
      </c>
      <c r="B57" s="14" t="inlineStr">
        <is>
          <t>LIMPEZA E HIGIENE</t>
        </is>
      </c>
      <c r="C57" s="15" t="inlineStr">
        <is>
          <t>GO</t>
        </is>
      </c>
      <c r="D57" s="15" t="n">
        <v>2</v>
      </c>
      <c r="E57" s="15" t="n">
        <v>3</v>
      </c>
      <c r="F57" s="15">
        <f>D57+E57</f>
        <v/>
      </c>
      <c r="G57" s="20">
        <f>IF(F57=0,0,D57/F57)</f>
        <v/>
      </c>
      <c r="H57" s="15" t="n"/>
      <c r="I57" s="15" t="n">
        <v>1</v>
      </c>
      <c r="J57" s="15">
        <f>IF(E57=0,"Completo",IF(D57=0,"Sem preço","Parcial"))</f>
        <v/>
      </c>
    </row>
    <row r="58">
      <c r="A58" s="15" t="n">
        <v>1040</v>
      </c>
      <c r="B58" s="14" t="inlineStr">
        <is>
          <t>LIMPEZA E HIGIENE</t>
        </is>
      </c>
      <c r="C58" s="15" t="inlineStr">
        <is>
          <t>GO</t>
        </is>
      </c>
      <c r="D58" s="15" t="n">
        <v>2</v>
      </c>
      <c r="E58" s="15" t="n">
        <v>3</v>
      </c>
      <c r="F58" s="15">
        <f>D58+E58</f>
        <v/>
      </c>
      <c r="G58" s="20">
        <f>IF(F58=0,0,D58/F58)</f>
        <v/>
      </c>
      <c r="H58" s="15" t="n"/>
      <c r="I58" s="15" t="n">
        <v>1</v>
      </c>
      <c r="J58" s="15">
        <f>IF(E58=0,"Completo",IF(D58=0,"Sem preço","Parcial"))</f>
        <v/>
      </c>
    </row>
    <row r="59">
      <c r="A59" s="15" t="n">
        <v>1041</v>
      </c>
      <c r="B59" s="14" t="inlineStr">
        <is>
          <t>LIMPEZA E HIGIENE</t>
        </is>
      </c>
      <c r="C59" s="15" t="inlineStr">
        <is>
          <t>GO</t>
        </is>
      </c>
      <c r="D59" s="15" t="n">
        <v>5</v>
      </c>
      <c r="E59" s="15" t="n">
        <v>0</v>
      </c>
      <c r="F59" s="15">
        <f>D59+E59</f>
        <v/>
      </c>
      <c r="G59" s="20">
        <f>IF(F59=0,0,D59/F59)</f>
        <v/>
      </c>
      <c r="H59" s="15" t="n"/>
      <c r="I59" s="15" t="n">
        <v>0</v>
      </c>
      <c r="J59" s="15">
        <f>IF(E59=0,"Completo",IF(D59=0,"Sem preço","Parcial"))</f>
        <v/>
      </c>
    </row>
    <row r="60">
      <c r="A60" s="15" t="n">
        <v>1042</v>
      </c>
      <c r="B60" s="14" t="inlineStr">
        <is>
          <t>LIMPEZA E HIGIENE</t>
        </is>
      </c>
      <c r="C60" s="15" t="inlineStr">
        <is>
          <t>GO</t>
        </is>
      </c>
      <c r="D60" s="15" t="n">
        <v>5</v>
      </c>
      <c r="E60" s="15" t="n">
        <v>0</v>
      </c>
      <c r="F60" s="15">
        <f>D60+E60</f>
        <v/>
      </c>
      <c r="G60" s="20">
        <f>IF(F60=0,0,D60/F60)</f>
        <v/>
      </c>
      <c r="H60" s="15" t="n"/>
      <c r="I60" s="15" t="n">
        <v>0</v>
      </c>
      <c r="J60" s="15">
        <f>IF(E60=0,"Completo",IF(D60=0,"Sem preço","Parcial"))</f>
        <v/>
      </c>
    </row>
    <row r="61">
      <c r="A61" s="15" t="n">
        <v>1043</v>
      </c>
      <c r="B61" s="14" t="inlineStr">
        <is>
          <t>LIMPEZA E HIGIENE</t>
        </is>
      </c>
      <c r="C61" s="15" t="inlineStr">
        <is>
          <t>GO</t>
        </is>
      </c>
      <c r="D61" s="15" t="n">
        <v>3</v>
      </c>
      <c r="E61" s="15" t="n">
        <v>2</v>
      </c>
      <c r="F61" s="15">
        <f>D61+E61</f>
        <v/>
      </c>
      <c r="G61" s="20">
        <f>IF(F61=0,0,D61/F61)</f>
        <v/>
      </c>
      <c r="H61" s="15" t="n"/>
      <c r="I61" s="15" t="n">
        <v>0</v>
      </c>
      <c r="J61" s="15">
        <f>IF(E61=0,"Completo",IF(D61=0,"Sem preço","Parcial"))</f>
        <v/>
      </c>
    </row>
    <row r="62">
      <c r="A62" s="15" t="n">
        <v>1044</v>
      </c>
      <c r="B62" s="14" t="inlineStr">
        <is>
          <t>LIMPEZA E HIGIENE</t>
        </is>
      </c>
      <c r="C62" s="15" t="inlineStr">
        <is>
          <t>GO</t>
        </is>
      </c>
      <c r="D62" s="15" t="n">
        <v>5</v>
      </c>
      <c r="E62" s="15" t="n">
        <v>0</v>
      </c>
      <c r="F62" s="15">
        <f>D62+E62</f>
        <v/>
      </c>
      <c r="G62" s="20">
        <f>IF(F62=0,0,D62/F62)</f>
        <v/>
      </c>
      <c r="H62" s="15" t="n"/>
      <c r="I62" s="15" t="n">
        <v>0</v>
      </c>
      <c r="J62" s="15">
        <f>IF(E62=0,"Completo",IF(D62=0,"Sem preço","Parcial"))</f>
        <v/>
      </c>
    </row>
    <row r="63">
      <c r="A63" s="15" t="n">
        <v>1045</v>
      </c>
      <c r="B63" s="14" t="inlineStr">
        <is>
          <t>LIMPEZA E HIGIENE</t>
        </is>
      </c>
      <c r="C63" s="15" t="inlineStr">
        <is>
          <t>GO</t>
        </is>
      </c>
      <c r="D63" s="15" t="n">
        <v>5</v>
      </c>
      <c r="E63" s="15" t="n">
        <v>0</v>
      </c>
      <c r="F63" s="15">
        <f>D63+E63</f>
        <v/>
      </c>
      <c r="G63" s="20">
        <f>IF(F63=0,0,D63/F63)</f>
        <v/>
      </c>
      <c r="H63" s="15" t="n"/>
      <c r="I63" s="15" t="n">
        <v>0</v>
      </c>
      <c r="J63" s="15">
        <f>IF(E63=0,"Completo",IF(D63=0,"Sem preço","Parcial"))</f>
        <v/>
      </c>
    </row>
    <row r="64">
      <c r="A64" s="15" t="n">
        <v>1046</v>
      </c>
      <c r="B64" s="14" t="inlineStr">
        <is>
          <t>LIMPEZA E HIGIENE</t>
        </is>
      </c>
      <c r="C64" s="15" t="inlineStr">
        <is>
          <t>GO</t>
        </is>
      </c>
      <c r="D64" s="15" t="n">
        <v>4</v>
      </c>
      <c r="E64" s="15" t="n">
        <v>1</v>
      </c>
      <c r="F64" s="15">
        <f>D64+E64</f>
        <v/>
      </c>
      <c r="G64" s="20">
        <f>IF(F64=0,0,D64/F64)</f>
        <v/>
      </c>
      <c r="H64" s="15" t="n"/>
      <c r="I64" s="15" t="n">
        <v>0</v>
      </c>
      <c r="J64" s="15">
        <f>IF(E64=0,"Completo",IF(D64=0,"Sem preço","Parcial"))</f>
        <v/>
      </c>
    </row>
    <row r="65">
      <c r="A65" s="15" t="n">
        <v>1047</v>
      </c>
      <c r="B65" s="14" t="inlineStr">
        <is>
          <t>LIMPEZA E HIGIENE</t>
        </is>
      </c>
      <c r="C65" s="15" t="inlineStr">
        <is>
          <t>GO</t>
        </is>
      </c>
      <c r="D65" s="15" t="n">
        <v>2</v>
      </c>
      <c r="E65" s="15" t="n">
        <v>3</v>
      </c>
      <c r="F65" s="15">
        <f>D65+E65</f>
        <v/>
      </c>
      <c r="G65" s="20">
        <f>IF(F65=0,0,D65/F65)</f>
        <v/>
      </c>
      <c r="H65" s="15" t="n"/>
      <c r="I65" s="15" t="n">
        <v>0</v>
      </c>
      <c r="J65" s="15">
        <f>IF(E65=0,"Completo",IF(D65=0,"Sem preço","Parcial"))</f>
        <v/>
      </c>
    </row>
    <row r="66">
      <c r="A66" s="15" t="n">
        <v>1048</v>
      </c>
      <c r="B66" s="14" t="inlineStr">
        <is>
          <t>LIMPEZA E HIGIENE</t>
        </is>
      </c>
      <c r="C66" s="15" t="inlineStr">
        <is>
          <t>GO</t>
        </is>
      </c>
      <c r="D66" s="15" t="n">
        <v>4</v>
      </c>
      <c r="E66" s="15" t="n">
        <v>1</v>
      </c>
      <c r="F66" s="15">
        <f>D66+E66</f>
        <v/>
      </c>
      <c r="G66" s="20">
        <f>IF(F66=0,0,D66/F66)</f>
        <v/>
      </c>
      <c r="H66" s="15" t="n"/>
      <c r="I66" s="15" t="n">
        <v>0</v>
      </c>
      <c r="J66" s="15">
        <f>IF(E66=0,"Completo",IF(D66=0,"Sem preço","Parcial"))</f>
        <v/>
      </c>
    </row>
    <row r="67">
      <c r="A67" s="15" t="n">
        <v>1049</v>
      </c>
      <c r="B67" s="14" t="inlineStr">
        <is>
          <t>LIMPEZA E HIGIENE</t>
        </is>
      </c>
      <c r="C67" s="15" t="inlineStr">
        <is>
          <t>GO</t>
        </is>
      </c>
      <c r="D67" s="15" t="n">
        <v>0</v>
      </c>
      <c r="E67" s="15" t="n">
        <v>5</v>
      </c>
      <c r="F67" s="15">
        <f>D67+E67</f>
        <v/>
      </c>
      <c r="G67" s="20">
        <f>IF(F67=0,0,D67/F67)</f>
        <v/>
      </c>
      <c r="H67" s="15" t="n"/>
      <c r="I67" s="15" t="n">
        <v>0</v>
      </c>
      <c r="J67" s="15">
        <f>IF(E67=0,"Completo",IF(D67=0,"Sem preço","Parcial"))</f>
        <v/>
      </c>
    </row>
    <row r="68">
      <c r="A68" s="15" t="n">
        <v>1050</v>
      </c>
      <c r="B68" s="14" t="inlineStr">
        <is>
          <t>LIMPEZA E HIGIENE</t>
        </is>
      </c>
      <c r="C68" s="15" t="inlineStr">
        <is>
          <t>GO</t>
        </is>
      </c>
      <c r="D68" s="15" t="n">
        <v>0</v>
      </c>
      <c r="E68" s="15" t="n">
        <v>5</v>
      </c>
      <c r="F68" s="15">
        <f>D68+E68</f>
        <v/>
      </c>
      <c r="G68" s="20">
        <f>IF(F68=0,0,D68/F68)</f>
        <v/>
      </c>
      <c r="H68" s="15" t="n"/>
      <c r="I68" s="15" t="n">
        <v>0</v>
      </c>
      <c r="J68" s="15">
        <f>IF(E68=0,"Completo",IF(D68=0,"Sem preço","Parcial"))</f>
        <v/>
      </c>
    </row>
    <row r="69">
      <c r="A69" s="15" t="n">
        <v>1051</v>
      </c>
      <c r="B69" s="14" t="inlineStr">
        <is>
          <t>LIMPEZA E HIGIENE</t>
        </is>
      </c>
      <c r="C69" s="15" t="inlineStr">
        <is>
          <t>GO</t>
        </is>
      </c>
      <c r="D69" s="15" t="n">
        <v>0</v>
      </c>
      <c r="E69" s="15" t="n">
        <v>5</v>
      </c>
      <c r="F69" s="15">
        <f>D69+E69</f>
        <v/>
      </c>
      <c r="G69" s="20">
        <f>IF(F69=0,0,D69/F69)</f>
        <v/>
      </c>
      <c r="H69" s="15" t="n"/>
      <c r="I69" s="15" t="n">
        <v>1</v>
      </c>
      <c r="J69" s="15">
        <f>IF(E69=0,"Completo",IF(D69=0,"Sem preço","Parcial"))</f>
        <v/>
      </c>
    </row>
    <row r="70">
      <c r="A70" s="15" t="n">
        <v>1052</v>
      </c>
      <c r="B70" s="14" t="inlineStr">
        <is>
          <t>LIMPEZA E HIGIENE</t>
        </is>
      </c>
      <c r="C70" s="15" t="inlineStr">
        <is>
          <t>GO</t>
        </is>
      </c>
      <c r="D70" s="15" t="n">
        <v>4</v>
      </c>
      <c r="E70" s="15" t="n">
        <v>1</v>
      </c>
      <c r="F70" s="15">
        <f>D70+E70</f>
        <v/>
      </c>
      <c r="G70" s="20">
        <f>IF(F70=0,0,D70/F70)</f>
        <v/>
      </c>
      <c r="H70" s="15" t="n"/>
      <c r="I70" s="15" t="n">
        <v>1</v>
      </c>
      <c r="J70" s="15">
        <f>IF(E70=0,"Completo",IF(D70=0,"Sem preço","Parcial"))</f>
        <v/>
      </c>
    </row>
    <row r="71">
      <c r="A71" s="15" t="n">
        <v>1053</v>
      </c>
      <c r="B71" s="14" t="inlineStr">
        <is>
          <t>LIMPEZA E HIGIENE</t>
        </is>
      </c>
      <c r="C71" s="15" t="inlineStr">
        <is>
          <t>GO</t>
        </is>
      </c>
      <c r="D71" s="15" t="n">
        <v>2</v>
      </c>
      <c r="E71" s="15" t="n">
        <v>3</v>
      </c>
      <c r="F71" s="15">
        <f>D71+E71</f>
        <v/>
      </c>
      <c r="G71" s="20">
        <f>IF(F71=0,0,D71/F71)</f>
        <v/>
      </c>
      <c r="H71" s="15" t="n"/>
      <c r="I71" s="15" t="n">
        <v>0</v>
      </c>
      <c r="J71" s="15">
        <f>IF(E71=0,"Completo",IF(D71=0,"Sem preço","Parcial"))</f>
        <v/>
      </c>
    </row>
    <row r="72">
      <c r="A72" s="15" t="n">
        <v>1054</v>
      </c>
      <c r="B72" s="14" t="inlineStr">
        <is>
          <t>LIMPEZA E HIGIENE</t>
        </is>
      </c>
      <c r="C72" s="15" t="inlineStr">
        <is>
          <t>GO</t>
        </is>
      </c>
      <c r="D72" s="15" t="n">
        <v>4</v>
      </c>
      <c r="E72" s="15" t="n">
        <v>1</v>
      </c>
      <c r="F72" s="15">
        <f>D72+E72</f>
        <v/>
      </c>
      <c r="G72" s="20">
        <f>IF(F72=0,0,D72/F72)</f>
        <v/>
      </c>
      <c r="H72" s="15" t="n"/>
      <c r="I72" s="15" t="n">
        <v>0</v>
      </c>
      <c r="J72" s="15">
        <f>IF(E72=0,"Completo",IF(D72=0,"Sem preço","Parcial"))</f>
        <v/>
      </c>
    </row>
    <row r="73">
      <c r="A73" s="15" t="n">
        <v>1055</v>
      </c>
      <c r="B73" s="14" t="inlineStr">
        <is>
          <t>LIMPEZA E HIGIENE</t>
        </is>
      </c>
      <c r="C73" s="15" t="inlineStr">
        <is>
          <t>GO</t>
        </is>
      </c>
      <c r="D73" s="15" t="n">
        <v>3</v>
      </c>
      <c r="E73" s="15" t="n">
        <v>2</v>
      </c>
      <c r="F73" s="15">
        <f>D73+E73</f>
        <v/>
      </c>
      <c r="G73" s="20">
        <f>IF(F73=0,0,D73/F73)</f>
        <v/>
      </c>
      <c r="H73" s="15" t="n"/>
      <c r="I73" s="15" t="n">
        <v>0</v>
      </c>
      <c r="J73" s="15">
        <f>IF(E73=0,"Completo",IF(D73=0,"Sem preço","Parcial"))</f>
        <v/>
      </c>
    </row>
    <row r="74">
      <c r="A74" s="15" t="n">
        <v>1056</v>
      </c>
      <c r="B74" s="14" t="inlineStr">
        <is>
          <t>LIMPEZA PREDIAL</t>
        </is>
      </c>
      <c r="C74" s="15" t="inlineStr">
        <is>
          <t>GO</t>
        </is>
      </c>
      <c r="D74" s="15" t="n">
        <v>1</v>
      </c>
      <c r="E74" s="15" t="n">
        <v>4</v>
      </c>
      <c r="F74" s="15">
        <f>D74+E74</f>
        <v/>
      </c>
      <c r="G74" s="20">
        <f>IF(F74=0,0,D74/F74)</f>
        <v/>
      </c>
      <c r="H74" s="15" t="n">
        <v>0</v>
      </c>
      <c r="I74" s="15" t="n">
        <v>0</v>
      </c>
      <c r="J74" s="15">
        <f>IF(E74=0,"Completo",IF(D74=0,"Sem preço","Parcial"))</f>
        <v/>
      </c>
    </row>
    <row r="75">
      <c r="A75" s="15" t="n">
        <v>1057</v>
      </c>
      <c r="B75" s="14" t="inlineStr">
        <is>
          <t>LIMPEZA PREDIAL</t>
        </is>
      </c>
      <c r="C75" s="15" t="inlineStr">
        <is>
          <t>GO</t>
        </is>
      </c>
      <c r="D75" s="15" t="n">
        <v>2</v>
      </c>
      <c r="E75" s="15" t="n">
        <v>3</v>
      </c>
      <c r="F75" s="15">
        <f>D75+E75</f>
        <v/>
      </c>
      <c r="G75" s="20">
        <f>IF(F75=0,0,D75/F75)</f>
        <v/>
      </c>
      <c r="H75" s="15" t="n">
        <v>0</v>
      </c>
      <c r="I75" s="15" t="n">
        <v>0</v>
      </c>
      <c r="J75" s="15">
        <f>IF(E75=0,"Completo",IF(D75=0,"Sem preço","Parcial"))</f>
        <v/>
      </c>
    </row>
    <row r="76">
      <c r="A76" s="15" t="n">
        <v>1058</v>
      </c>
      <c r="B76" s="14" t="inlineStr">
        <is>
          <t>LIMPEZA PREDIAL</t>
        </is>
      </c>
      <c r="C76" s="15" t="inlineStr">
        <is>
          <t>GO</t>
        </is>
      </c>
      <c r="D76" s="15" t="n">
        <v>1</v>
      </c>
      <c r="E76" s="15" t="n">
        <v>4</v>
      </c>
      <c r="F76" s="15">
        <f>D76+E76</f>
        <v/>
      </c>
      <c r="G76" s="20">
        <f>IF(F76=0,0,D76/F76)</f>
        <v/>
      </c>
      <c r="H76" s="15" t="n">
        <v>1</v>
      </c>
      <c r="I76" s="15" t="n">
        <v>1</v>
      </c>
      <c r="J76" s="15">
        <f>IF(E76=0,"Completo",IF(D76=0,"Sem preço","Parcial"))</f>
        <v/>
      </c>
    </row>
    <row r="77">
      <c r="A77" s="15" t="n">
        <v>1059</v>
      </c>
      <c r="B77" s="14" t="inlineStr">
        <is>
          <t>LIMPEZA PREDIAL</t>
        </is>
      </c>
      <c r="C77" s="15" t="inlineStr">
        <is>
          <t>GO</t>
        </is>
      </c>
      <c r="D77" s="15" t="n">
        <v>1</v>
      </c>
      <c r="E77" s="15" t="n">
        <v>4</v>
      </c>
      <c r="F77" s="15">
        <f>D77+E77</f>
        <v/>
      </c>
      <c r="G77" s="20">
        <f>IF(F77=0,0,D77/F77)</f>
        <v/>
      </c>
      <c r="H77" s="15" t="n">
        <v>0</v>
      </c>
      <c r="I77" s="15" t="n">
        <v>0</v>
      </c>
      <c r="J77" s="15">
        <f>IF(E77=0,"Completo",IF(D77=0,"Sem preço","Parcial"))</f>
        <v/>
      </c>
    </row>
    <row r="78">
      <c r="A78" s="15" t="n">
        <v>1060</v>
      </c>
      <c r="B78" s="14" t="inlineStr">
        <is>
          <t>LIMPEZA PREDIAL</t>
        </is>
      </c>
      <c r="C78" s="15" t="inlineStr">
        <is>
          <t>GO</t>
        </is>
      </c>
      <c r="D78" s="15" t="n">
        <v>1</v>
      </c>
      <c r="E78" s="15" t="n">
        <v>4</v>
      </c>
      <c r="F78" s="15">
        <f>D78+E78</f>
        <v/>
      </c>
      <c r="G78" s="20">
        <f>IF(F78=0,0,D78/F78)</f>
        <v/>
      </c>
      <c r="H78" s="15" t="n">
        <v>0</v>
      </c>
      <c r="I78" s="15" t="n">
        <v>0</v>
      </c>
      <c r="J78" s="15">
        <f>IF(E78=0,"Completo",IF(D78=0,"Sem preço","Parcial"))</f>
        <v/>
      </c>
    </row>
    <row r="79">
      <c r="A79" s="15" t="n">
        <v>1061</v>
      </c>
      <c r="B79" s="14" t="inlineStr">
        <is>
          <t>LIMPEZA PREDIAL</t>
        </is>
      </c>
      <c r="C79" s="15" t="inlineStr">
        <is>
          <t>GO</t>
        </is>
      </c>
      <c r="D79" s="15" t="n">
        <v>4</v>
      </c>
      <c r="E79" s="15" t="n">
        <v>1</v>
      </c>
      <c r="F79" s="15">
        <f>D79+E79</f>
        <v/>
      </c>
      <c r="G79" s="20">
        <f>IF(F79=0,0,D79/F79)</f>
        <v/>
      </c>
      <c r="H79" s="15" t="n">
        <v>1</v>
      </c>
      <c r="I79" s="15" t="n">
        <v>1</v>
      </c>
      <c r="J79" s="15">
        <f>IF(E79=0,"Completo",IF(D79=0,"Sem preço","Parcial"))</f>
        <v/>
      </c>
    </row>
    <row r="80">
      <c r="A80" s="15" t="n">
        <v>1062</v>
      </c>
      <c r="B80" s="14" t="inlineStr">
        <is>
          <t>LIMPEZA PREDIAL</t>
        </is>
      </c>
      <c r="C80" s="15" t="inlineStr">
        <is>
          <t>GO</t>
        </is>
      </c>
      <c r="D80" s="15" t="n">
        <v>0</v>
      </c>
      <c r="E80" s="15" t="n">
        <v>5</v>
      </c>
      <c r="F80" s="15">
        <f>D80+E80</f>
        <v/>
      </c>
      <c r="G80" s="20">
        <f>IF(F80=0,0,D80/F80)</f>
        <v/>
      </c>
      <c r="H80" s="15" t="n">
        <v>0</v>
      </c>
      <c r="I80" s="15" t="n">
        <v>0</v>
      </c>
      <c r="J80" s="15">
        <f>IF(E80=0,"Completo",IF(D80=0,"Sem preço","Parcial"))</f>
        <v/>
      </c>
    </row>
    <row r="81">
      <c r="A81" s="15" t="n">
        <v>1063</v>
      </c>
      <c r="B81" s="14" t="inlineStr">
        <is>
          <t>LIMPEZA PREDIAL</t>
        </is>
      </c>
      <c r="C81" s="15" t="inlineStr">
        <is>
          <t>GO</t>
        </is>
      </c>
      <c r="D81" s="15" t="n">
        <v>4</v>
      </c>
      <c r="E81" s="15" t="n">
        <v>1</v>
      </c>
      <c r="F81" s="15">
        <f>D81+E81</f>
        <v/>
      </c>
      <c r="G81" s="20">
        <f>IF(F81=0,0,D81/F81)</f>
        <v/>
      </c>
      <c r="H81" s="15" t="n">
        <v>1</v>
      </c>
      <c r="I81" s="15" t="n">
        <v>0</v>
      </c>
      <c r="J81" s="15">
        <f>IF(E81=0,"Completo",IF(D81=0,"Sem preço","Parcial"))</f>
        <v/>
      </c>
    </row>
    <row r="82">
      <c r="A82" s="15" t="n">
        <v>1064</v>
      </c>
      <c r="B82" s="14" t="inlineStr">
        <is>
          <t>LIMPEZA PREDIAL</t>
        </is>
      </c>
      <c r="C82" s="15" t="inlineStr">
        <is>
          <t>GO</t>
        </is>
      </c>
      <c r="D82" s="15" t="n">
        <v>0</v>
      </c>
      <c r="E82" s="15" t="n">
        <v>5</v>
      </c>
      <c r="F82" s="15">
        <f>D82+E82</f>
        <v/>
      </c>
      <c r="G82" s="20">
        <f>IF(F82=0,0,D82/F82)</f>
        <v/>
      </c>
      <c r="H82" s="15" t="n">
        <v>0</v>
      </c>
      <c r="I82" s="15" t="n">
        <v>0</v>
      </c>
      <c r="J82" s="15">
        <f>IF(E82=0,"Completo",IF(D82=0,"Sem preço","Parcial"))</f>
        <v/>
      </c>
    </row>
    <row r="83">
      <c r="A83" s="15" t="n">
        <v>1065</v>
      </c>
      <c r="B83" s="14" t="inlineStr">
        <is>
          <t>LIMPEZA PREDIAL</t>
        </is>
      </c>
      <c r="C83" s="15" t="inlineStr">
        <is>
          <t>GO</t>
        </is>
      </c>
      <c r="D83" s="15" t="n">
        <v>0</v>
      </c>
      <c r="E83" s="15" t="n">
        <v>5</v>
      </c>
      <c r="F83" s="15">
        <f>D83+E83</f>
        <v/>
      </c>
      <c r="G83" s="20">
        <f>IF(F83=0,0,D83/F83)</f>
        <v/>
      </c>
      <c r="H83" s="15" t="n">
        <v>0</v>
      </c>
      <c r="I83" s="15" t="n">
        <v>0</v>
      </c>
      <c r="J83" s="15">
        <f>IF(E83=0,"Completo",IF(D83=0,"Sem preço","Parcial"))</f>
        <v/>
      </c>
    </row>
    <row r="84">
      <c r="A84" s="15" t="n">
        <v>1066</v>
      </c>
      <c r="B84" s="14" t="inlineStr">
        <is>
          <t>LIMPEZA PREDIAL</t>
        </is>
      </c>
      <c r="C84" s="15" t="inlineStr">
        <is>
          <t>GO</t>
        </is>
      </c>
      <c r="D84" s="15" t="n">
        <v>0</v>
      </c>
      <c r="E84" s="15" t="n">
        <v>5</v>
      </c>
      <c r="F84" s="15">
        <f>D84+E84</f>
        <v/>
      </c>
      <c r="G84" s="20">
        <f>IF(F84=0,0,D84/F84)</f>
        <v/>
      </c>
      <c r="H84" s="15" t="n">
        <v>0</v>
      </c>
      <c r="I84" s="15" t="n">
        <v>0</v>
      </c>
      <c r="J84" s="15">
        <f>IF(E84=0,"Completo",IF(D84=0,"Sem preço","Parcial"))</f>
        <v/>
      </c>
    </row>
    <row r="85">
      <c r="A85" s="15" t="n">
        <v>1067</v>
      </c>
      <c r="B85" s="14" t="inlineStr">
        <is>
          <t>LIMPEZA PREDIAL</t>
        </is>
      </c>
      <c r="C85" s="15" t="inlineStr">
        <is>
          <t>GO</t>
        </is>
      </c>
      <c r="D85" s="15" t="n">
        <v>0</v>
      </c>
      <c r="E85" s="15" t="n">
        <v>5</v>
      </c>
      <c r="F85" s="15">
        <f>D85+E85</f>
        <v/>
      </c>
      <c r="G85" s="20">
        <f>IF(F85=0,0,D85/F85)</f>
        <v/>
      </c>
      <c r="H85" s="15" t="n">
        <v>2</v>
      </c>
      <c r="I85" s="15" t="n">
        <v>1</v>
      </c>
      <c r="J85" s="15">
        <f>IF(E85=0,"Completo",IF(D85=0,"Sem preço","Parcial"))</f>
        <v/>
      </c>
    </row>
    <row r="86">
      <c r="A86" s="15" t="n">
        <v>1068</v>
      </c>
      <c r="B86" s="14" t="inlineStr">
        <is>
          <t>LIMPEZA PREDIAL</t>
        </is>
      </c>
      <c r="C86" s="15" t="inlineStr">
        <is>
          <t>GO</t>
        </is>
      </c>
      <c r="D86" s="15" t="n">
        <v>3</v>
      </c>
      <c r="E86" s="15" t="n">
        <v>2</v>
      </c>
      <c r="F86" s="15">
        <f>D86+E86</f>
        <v/>
      </c>
      <c r="G86" s="20">
        <f>IF(F86=0,0,D86/F86)</f>
        <v/>
      </c>
      <c r="H86" s="15" t="n">
        <v>0</v>
      </c>
      <c r="I86" s="15" t="n">
        <v>0</v>
      </c>
      <c r="J86" s="15">
        <f>IF(E86=0,"Completo",IF(D86=0,"Sem preço","Parcial"))</f>
        <v/>
      </c>
    </row>
    <row r="87">
      <c r="A87" s="15" t="n">
        <v>1069</v>
      </c>
      <c r="B87" s="14" t="inlineStr">
        <is>
          <t>LIMPEZA PREDIAL</t>
        </is>
      </c>
      <c r="C87" s="15" t="inlineStr">
        <is>
          <t>GO</t>
        </is>
      </c>
      <c r="D87" s="15" t="n">
        <v>2</v>
      </c>
      <c r="E87" s="15" t="n">
        <v>3</v>
      </c>
      <c r="F87" s="15">
        <f>D87+E87</f>
        <v/>
      </c>
      <c r="G87" s="20">
        <f>IF(F87=0,0,D87/F87)</f>
        <v/>
      </c>
      <c r="H87" s="15" t="n">
        <v>1</v>
      </c>
      <c r="I87" s="15" t="n">
        <v>0</v>
      </c>
      <c r="J87" s="15">
        <f>IF(E87=0,"Completo",IF(D87=0,"Sem preço","Parcial"))</f>
        <v/>
      </c>
    </row>
    <row r="88">
      <c r="A88" s="15" t="n">
        <v>1070</v>
      </c>
      <c r="B88" s="14" t="inlineStr">
        <is>
          <t>LIMPEZA PREDIAL</t>
        </is>
      </c>
      <c r="C88" s="15" t="inlineStr">
        <is>
          <t>GO</t>
        </is>
      </c>
      <c r="D88" s="15" t="n">
        <v>0</v>
      </c>
      <c r="E88" s="15" t="n">
        <v>5</v>
      </c>
      <c r="F88" s="15">
        <f>D88+E88</f>
        <v/>
      </c>
      <c r="G88" s="20">
        <f>IF(F88=0,0,D88/F88)</f>
        <v/>
      </c>
      <c r="H88" s="15" t="n">
        <v>0</v>
      </c>
      <c r="I88" s="15" t="n">
        <v>0</v>
      </c>
      <c r="J88" s="15">
        <f>IF(E88=0,"Completo",IF(D88=0,"Sem preço","Parcial"))</f>
        <v/>
      </c>
    </row>
    <row r="89">
      <c r="A89" s="15" t="n">
        <v>1071</v>
      </c>
      <c r="B89" s="14" t="inlineStr">
        <is>
          <t>LIMPEZA PREDIAL</t>
        </is>
      </c>
      <c r="C89" s="15" t="inlineStr">
        <is>
          <t>GO</t>
        </is>
      </c>
      <c r="D89" s="15" t="n">
        <v>0</v>
      </c>
      <c r="E89" s="15" t="n">
        <v>5</v>
      </c>
      <c r="F89" s="15">
        <f>D89+E89</f>
        <v/>
      </c>
      <c r="G89" s="20">
        <f>IF(F89=0,0,D89/F89)</f>
        <v/>
      </c>
      <c r="H89" s="15" t="n">
        <v>0</v>
      </c>
      <c r="I89" s="15" t="n">
        <v>0</v>
      </c>
      <c r="J89" s="15">
        <f>IF(E89=0,"Completo",IF(D89=0,"Sem preço","Parcial"))</f>
        <v/>
      </c>
    </row>
    <row r="90">
      <c r="A90" s="15" t="n">
        <v>1072</v>
      </c>
      <c r="B90" s="14" t="inlineStr">
        <is>
          <t>LIMPEZA PREDIAL</t>
        </is>
      </c>
      <c r="C90" s="15" t="inlineStr">
        <is>
          <t>GO</t>
        </is>
      </c>
      <c r="D90" s="15" t="n">
        <v>2</v>
      </c>
      <c r="E90" s="15" t="n">
        <v>3</v>
      </c>
      <c r="F90" s="15">
        <f>D90+E90</f>
        <v/>
      </c>
      <c r="G90" s="20">
        <f>IF(F90=0,0,D90/F90)</f>
        <v/>
      </c>
      <c r="H90" s="15" t="n">
        <v>0</v>
      </c>
      <c r="I90" s="15" t="n">
        <v>0</v>
      </c>
      <c r="J90" s="15">
        <f>IF(E90=0,"Completo",IF(D90=0,"Sem preço","Parcial"))</f>
        <v/>
      </c>
    </row>
    <row r="91">
      <c r="A91" s="15" t="n">
        <v>1073</v>
      </c>
      <c r="B91" s="14" t="inlineStr">
        <is>
          <t>LIMPEZA PREDIAL</t>
        </is>
      </c>
      <c r="C91" s="15" t="inlineStr">
        <is>
          <t>GO</t>
        </is>
      </c>
      <c r="D91" s="15" t="n">
        <v>0</v>
      </c>
      <c r="E91" s="15" t="n">
        <v>5</v>
      </c>
      <c r="F91" s="15">
        <f>D91+E91</f>
        <v/>
      </c>
      <c r="G91" s="20">
        <f>IF(F91=0,0,D91/F91)</f>
        <v/>
      </c>
      <c r="H91" s="15" t="n">
        <v>0</v>
      </c>
      <c r="I91" s="15" t="n">
        <v>0</v>
      </c>
      <c r="J91" s="15">
        <f>IF(E91=0,"Completo",IF(D91=0,"Sem preço","Parcial"))</f>
        <v/>
      </c>
    </row>
    <row r="92">
      <c r="A92" s="15" t="n">
        <v>1074</v>
      </c>
      <c r="B92" s="14" t="inlineStr">
        <is>
          <t>LIMPEZA PREDIAL</t>
        </is>
      </c>
      <c r="C92" s="15" t="inlineStr">
        <is>
          <t>GO</t>
        </is>
      </c>
      <c r="D92" s="15" t="n">
        <v>3</v>
      </c>
      <c r="E92" s="15" t="n">
        <v>2</v>
      </c>
      <c r="F92" s="15">
        <f>D92+E92</f>
        <v/>
      </c>
      <c r="G92" s="20">
        <f>IF(F92=0,0,D92/F92)</f>
        <v/>
      </c>
      <c r="H92" s="15" t="n">
        <v>0</v>
      </c>
      <c r="I92" s="15" t="n">
        <v>1</v>
      </c>
      <c r="J92" s="15">
        <f>IF(E92=0,"Completo",IF(D92=0,"Sem preço","Parcial"))</f>
        <v/>
      </c>
    </row>
    <row r="93">
      <c r="A93" s="15" t="n">
        <v>1075</v>
      </c>
      <c r="B93" s="14" t="inlineStr">
        <is>
          <t>LIMPEZA PREDIAL</t>
        </is>
      </c>
      <c r="C93" s="15" t="inlineStr">
        <is>
          <t>GO</t>
        </is>
      </c>
      <c r="D93" s="15" t="n">
        <v>4</v>
      </c>
      <c r="E93" s="15" t="n">
        <v>1</v>
      </c>
      <c r="F93" s="15">
        <f>D93+E93</f>
        <v/>
      </c>
      <c r="G93" s="20">
        <f>IF(F93=0,0,D93/F93)</f>
        <v/>
      </c>
      <c r="H93" s="15" t="n">
        <v>0</v>
      </c>
      <c r="I93" s="15" t="n">
        <v>1</v>
      </c>
      <c r="J93" s="15">
        <f>IF(E93=0,"Completo",IF(D93=0,"Sem preço","Parcial"))</f>
        <v/>
      </c>
    </row>
    <row r="94">
      <c r="A94" s="15" t="n">
        <v>1076</v>
      </c>
      <c r="B94" s="14" t="inlineStr">
        <is>
          <t>LIMPEZA PREDIAL</t>
        </is>
      </c>
      <c r="C94" s="15" t="inlineStr">
        <is>
          <t>GO</t>
        </is>
      </c>
      <c r="D94" s="15" t="n">
        <v>3</v>
      </c>
      <c r="E94" s="15" t="n">
        <v>2</v>
      </c>
      <c r="F94" s="15">
        <f>D94+E94</f>
        <v/>
      </c>
      <c r="G94" s="20">
        <f>IF(F94=0,0,D94/F94)</f>
        <v/>
      </c>
      <c r="H94" s="15" t="n">
        <v>1</v>
      </c>
      <c r="I94" s="15" t="n">
        <v>1</v>
      </c>
      <c r="J94" s="15">
        <f>IF(E94=0,"Completo",IF(D94=0,"Sem preço","Parcial"))</f>
        <v/>
      </c>
    </row>
    <row r="95">
      <c r="A95" s="15" t="n">
        <v>1077</v>
      </c>
      <c r="B95" s="14" t="inlineStr">
        <is>
          <t>LIMPEZA PREDIAL</t>
        </is>
      </c>
      <c r="C95" s="15" t="inlineStr">
        <is>
          <t>GO</t>
        </is>
      </c>
      <c r="D95" s="15" t="n">
        <v>0</v>
      </c>
      <c r="E95" s="15" t="n">
        <v>5</v>
      </c>
      <c r="F95" s="15">
        <f>D95+E95</f>
        <v/>
      </c>
      <c r="G95" s="20">
        <f>IF(F95=0,0,D95/F95)</f>
        <v/>
      </c>
      <c r="H95" s="15" t="n">
        <v>0</v>
      </c>
      <c r="I95" s="15" t="n">
        <v>0</v>
      </c>
      <c r="J95" s="15">
        <f>IF(E95=0,"Completo",IF(D95=0,"Sem preço","Parcial"))</f>
        <v/>
      </c>
    </row>
    <row r="96">
      <c r="A96" s="15" t="n">
        <v>1078</v>
      </c>
      <c r="B96" s="14" t="inlineStr">
        <is>
          <t>LIMPEZA PREDIAL</t>
        </is>
      </c>
      <c r="C96" s="15" t="inlineStr">
        <is>
          <t>GO</t>
        </is>
      </c>
      <c r="D96" s="15" t="n">
        <v>2</v>
      </c>
      <c r="E96" s="15" t="n">
        <v>3</v>
      </c>
      <c r="F96" s="15">
        <f>D96+E96</f>
        <v/>
      </c>
      <c r="G96" s="20">
        <f>IF(F96=0,0,D96/F96)</f>
        <v/>
      </c>
      <c r="H96" s="15" t="n">
        <v>1</v>
      </c>
      <c r="I96" s="15" t="n">
        <v>1</v>
      </c>
      <c r="J96" s="15">
        <f>IF(E96=0,"Completo",IF(D96=0,"Sem preço","Parcial"))</f>
        <v/>
      </c>
    </row>
    <row r="97">
      <c r="A97" s="15" t="n">
        <v>1079</v>
      </c>
      <c r="B97" s="14" t="inlineStr">
        <is>
          <t>LIMPEZA PREDIAL</t>
        </is>
      </c>
      <c r="C97" s="15" t="inlineStr">
        <is>
          <t>GO</t>
        </is>
      </c>
      <c r="D97" s="15" t="n">
        <v>0</v>
      </c>
      <c r="E97" s="15" t="n">
        <v>5</v>
      </c>
      <c r="F97" s="15">
        <f>D97+E97</f>
        <v/>
      </c>
      <c r="G97" s="20">
        <f>IF(F97=0,0,D97/F97)</f>
        <v/>
      </c>
      <c r="H97" s="15" t="n">
        <v>0</v>
      </c>
      <c r="I97" s="15" t="n">
        <v>0</v>
      </c>
      <c r="J97" s="15">
        <f>IF(E97=0,"Completo",IF(D97=0,"Sem preço","Parcial"))</f>
        <v/>
      </c>
    </row>
    <row r="98">
      <c r="A98" s="15" t="n">
        <v>1080</v>
      </c>
      <c r="B98" s="14" t="inlineStr">
        <is>
          <t>LIMPEZA PREDIAL</t>
        </is>
      </c>
      <c r="C98" s="15" t="inlineStr">
        <is>
          <t>GO</t>
        </is>
      </c>
      <c r="D98" s="15" t="n">
        <v>3</v>
      </c>
      <c r="E98" s="15" t="n">
        <v>2</v>
      </c>
      <c r="F98" s="15">
        <f>D98+E98</f>
        <v/>
      </c>
      <c r="G98" s="20">
        <f>IF(F98=0,0,D98/F98)</f>
        <v/>
      </c>
      <c r="H98" s="15" t="n">
        <v>2</v>
      </c>
      <c r="I98" s="15" t="n">
        <v>2</v>
      </c>
      <c r="J98" s="15">
        <f>IF(E98=0,"Completo",IF(D98=0,"Sem preço","Parcial"))</f>
        <v/>
      </c>
    </row>
    <row r="99">
      <c r="A99" s="15" t="n">
        <v>1081</v>
      </c>
      <c r="B99" s="14" t="inlineStr">
        <is>
          <t>LIMPEZA PREDIAL</t>
        </is>
      </c>
      <c r="C99" s="15" t="inlineStr">
        <is>
          <t>GO</t>
        </is>
      </c>
      <c r="D99" s="15" t="n">
        <v>2</v>
      </c>
      <c r="E99" s="15" t="n">
        <v>3</v>
      </c>
      <c r="F99" s="15">
        <f>D99+E99</f>
        <v/>
      </c>
      <c r="G99" s="20">
        <f>IF(F99=0,0,D99/F99)</f>
        <v/>
      </c>
      <c r="H99" s="15" t="n">
        <v>0</v>
      </c>
      <c r="I99" s="15" t="n">
        <v>1</v>
      </c>
      <c r="J99" s="15">
        <f>IF(E99=0,"Completo",IF(D99=0,"Sem preço","Parcial"))</f>
        <v/>
      </c>
    </row>
    <row r="100">
      <c r="A100" s="15" t="n">
        <v>1082</v>
      </c>
      <c r="B100" s="14" t="inlineStr">
        <is>
          <t>LIMPEZA PREDIAL</t>
        </is>
      </c>
      <c r="C100" s="15" t="inlineStr">
        <is>
          <t>GO</t>
        </is>
      </c>
      <c r="D100" s="15" t="n">
        <v>2</v>
      </c>
      <c r="E100" s="15" t="n">
        <v>3</v>
      </c>
      <c r="F100" s="15">
        <f>D100+E100</f>
        <v/>
      </c>
      <c r="G100" s="20">
        <f>IF(F100=0,0,D100/F100)</f>
        <v/>
      </c>
      <c r="H100" s="15" t="n">
        <v>0</v>
      </c>
      <c r="I100" s="15" t="n">
        <v>0</v>
      </c>
      <c r="J100" s="15">
        <f>IF(E100=0,"Completo",IF(D100=0,"Sem preço","Parcial"))</f>
        <v/>
      </c>
    </row>
    <row r="101">
      <c r="A101" s="15" t="n">
        <v>1083</v>
      </c>
      <c r="B101" s="14" t="inlineStr">
        <is>
          <t>LIMPEZA PREDIAL</t>
        </is>
      </c>
      <c r="C101" s="15" t="inlineStr">
        <is>
          <t>GO</t>
        </is>
      </c>
      <c r="D101" s="15" t="n">
        <v>4</v>
      </c>
      <c r="E101" s="15" t="n">
        <v>1</v>
      </c>
      <c r="F101" s="15">
        <f>D101+E101</f>
        <v/>
      </c>
      <c r="G101" s="20">
        <f>IF(F101=0,0,D101/F101)</f>
        <v/>
      </c>
      <c r="H101" s="15" t="n">
        <v>2</v>
      </c>
      <c r="I101" s="15" t="n">
        <v>3</v>
      </c>
      <c r="J101" s="15">
        <f>IF(E101=0,"Completo",IF(D101=0,"Sem preço","Parcial"))</f>
        <v/>
      </c>
    </row>
    <row r="102">
      <c r="A102" s="15" t="n">
        <v>1084</v>
      </c>
      <c r="B102" s="14" t="inlineStr">
        <is>
          <t>LIMPEZA PREDIAL</t>
        </is>
      </c>
      <c r="C102" s="15" t="inlineStr">
        <is>
          <t>GO</t>
        </is>
      </c>
      <c r="D102" s="15" t="n">
        <v>4</v>
      </c>
      <c r="E102" s="15" t="n">
        <v>1</v>
      </c>
      <c r="F102" s="15">
        <f>D102+E102</f>
        <v/>
      </c>
      <c r="G102" s="20">
        <f>IF(F102=0,0,D102/F102)</f>
        <v/>
      </c>
      <c r="H102" s="15" t="n">
        <v>2</v>
      </c>
      <c r="I102" s="15" t="n">
        <v>3</v>
      </c>
      <c r="J102" s="15">
        <f>IF(E102=0,"Completo",IF(D102=0,"Sem preço","Parcial"))</f>
        <v/>
      </c>
    </row>
    <row r="103">
      <c r="A103" s="15" t="n">
        <v>1085</v>
      </c>
      <c r="B103" s="14" t="inlineStr">
        <is>
          <t>LIMPEZA PREDIAL</t>
        </is>
      </c>
      <c r="C103" s="15" t="inlineStr">
        <is>
          <t>GO</t>
        </is>
      </c>
      <c r="D103" s="15" t="n">
        <v>3</v>
      </c>
      <c r="E103" s="15" t="n">
        <v>2</v>
      </c>
      <c r="F103" s="15">
        <f>D103+E103</f>
        <v/>
      </c>
      <c r="G103" s="20">
        <f>IF(F103=0,0,D103/F103)</f>
        <v/>
      </c>
      <c r="H103" s="15" t="n">
        <v>2</v>
      </c>
      <c r="I103" s="15" t="n">
        <v>3</v>
      </c>
      <c r="J103" s="15">
        <f>IF(E103=0,"Completo",IF(D103=0,"Sem preço","Parcial"))</f>
        <v/>
      </c>
    </row>
    <row r="104">
      <c r="A104" s="15" t="n">
        <v>1086</v>
      </c>
      <c r="B104" s="14" t="inlineStr">
        <is>
          <t>LIMPEZA PREDIAL</t>
        </is>
      </c>
      <c r="C104" s="15" t="inlineStr">
        <is>
          <t>GO</t>
        </is>
      </c>
      <c r="D104" s="15" t="n">
        <v>1</v>
      </c>
      <c r="E104" s="15" t="n">
        <v>4</v>
      </c>
      <c r="F104" s="15">
        <f>D104+E104</f>
        <v/>
      </c>
      <c r="G104" s="20">
        <f>IF(F104=0,0,D104/F104)</f>
        <v/>
      </c>
      <c r="H104" s="15" t="n">
        <v>0</v>
      </c>
      <c r="I104" s="15" t="n">
        <v>0</v>
      </c>
      <c r="J104" s="15">
        <f>IF(E104=0,"Completo",IF(D104=0,"Sem preço","Parcial"))</f>
        <v/>
      </c>
    </row>
    <row r="105">
      <c r="A105" s="15" t="n">
        <v>1087</v>
      </c>
      <c r="B105" s="14" t="inlineStr">
        <is>
          <t>LIMPEZA PREDIAL</t>
        </is>
      </c>
      <c r="C105" s="15" t="inlineStr">
        <is>
          <t>GO</t>
        </is>
      </c>
      <c r="D105" s="15" t="n">
        <v>1</v>
      </c>
      <c r="E105" s="15" t="n">
        <v>4</v>
      </c>
      <c r="F105" s="15">
        <f>D105+E105</f>
        <v/>
      </c>
      <c r="G105" s="20">
        <f>IF(F105=0,0,D105/F105)</f>
        <v/>
      </c>
      <c r="H105" s="15" t="n">
        <v>0</v>
      </c>
      <c r="I105" s="15" t="n">
        <v>0</v>
      </c>
      <c r="J105" s="15">
        <f>IF(E105=0,"Completo",IF(D105=0,"Sem preço","Parcial"))</f>
        <v/>
      </c>
    </row>
    <row r="106">
      <c r="A106" s="15" t="n">
        <v>1088</v>
      </c>
      <c r="B106" s="14" t="inlineStr">
        <is>
          <t>LIMPEZA PREDIAL</t>
        </is>
      </c>
      <c r="C106" s="15" t="inlineStr">
        <is>
          <t>GO</t>
        </is>
      </c>
      <c r="D106" s="15" t="n">
        <v>4</v>
      </c>
      <c r="E106" s="15" t="n">
        <v>1</v>
      </c>
      <c r="F106" s="15">
        <f>D106+E106</f>
        <v/>
      </c>
      <c r="G106" s="20">
        <f>IF(F106=0,0,D106/F106)</f>
        <v/>
      </c>
      <c r="H106" s="15" t="n">
        <v>0</v>
      </c>
      <c r="I106" s="15" t="n">
        <v>0</v>
      </c>
      <c r="J106" s="15">
        <f>IF(E106=0,"Completo",IF(D106=0,"Sem preço","Parcial"))</f>
        <v/>
      </c>
    </row>
    <row r="107">
      <c r="A107" s="15" t="n">
        <v>1089</v>
      </c>
      <c r="B107" s="14" t="inlineStr">
        <is>
          <t>LIMPEZA PREDIAL</t>
        </is>
      </c>
      <c r="C107" s="15" t="inlineStr">
        <is>
          <t>GO</t>
        </is>
      </c>
      <c r="D107" s="15" t="n">
        <v>4</v>
      </c>
      <c r="E107" s="15" t="n">
        <v>1</v>
      </c>
      <c r="F107" s="15">
        <f>D107+E107</f>
        <v/>
      </c>
      <c r="G107" s="20">
        <f>IF(F107=0,0,D107/F107)</f>
        <v/>
      </c>
      <c r="H107" s="15" t="n">
        <v>0</v>
      </c>
      <c r="I107" s="15" t="n">
        <v>0</v>
      </c>
      <c r="J107" s="15">
        <f>IF(E107=0,"Completo",IF(D107=0,"Sem preço","Parcial"))</f>
        <v/>
      </c>
    </row>
    <row r="108">
      <c r="A108" s="15" t="n">
        <v>1090</v>
      </c>
      <c r="B108" s="14" t="inlineStr">
        <is>
          <t>LIMPEZA PREDIAL</t>
        </is>
      </c>
      <c r="C108" s="15" t="inlineStr">
        <is>
          <t>GO</t>
        </is>
      </c>
      <c r="D108" s="15" t="n">
        <v>2</v>
      </c>
      <c r="E108" s="15" t="n">
        <v>3</v>
      </c>
      <c r="F108" s="15">
        <f>D108+E108</f>
        <v/>
      </c>
      <c r="G108" s="20">
        <f>IF(F108=0,0,D108/F108)</f>
        <v/>
      </c>
      <c r="H108" s="15" t="n">
        <v>0</v>
      </c>
      <c r="I108" s="15" t="n">
        <v>0</v>
      </c>
      <c r="J108" s="15">
        <f>IF(E108=0,"Completo",IF(D108=0,"Sem preço","Parcial"))</f>
        <v/>
      </c>
    </row>
    <row r="109">
      <c r="A109" s="15" t="n">
        <v>1091</v>
      </c>
      <c r="B109" s="14" t="inlineStr">
        <is>
          <t>LIMPEZA PREDIAL</t>
        </is>
      </c>
      <c r="C109" s="15" t="inlineStr">
        <is>
          <t>GO</t>
        </is>
      </c>
      <c r="D109" s="15" t="n">
        <v>4</v>
      </c>
      <c r="E109" s="15" t="n">
        <v>1</v>
      </c>
      <c r="F109" s="15">
        <f>D109+E109</f>
        <v/>
      </c>
      <c r="G109" s="20">
        <f>IF(F109=0,0,D109/F109)</f>
        <v/>
      </c>
      <c r="H109" s="15" t="n">
        <v>0</v>
      </c>
      <c r="I109" s="15" t="n">
        <v>0</v>
      </c>
      <c r="J109" s="15">
        <f>IF(E109=0,"Completo",IF(D109=0,"Sem preço","Parcial"))</f>
        <v/>
      </c>
    </row>
    <row r="110">
      <c r="A110" s="15" t="n">
        <v>1092</v>
      </c>
      <c r="B110" s="14" t="inlineStr">
        <is>
          <t>LIMPEZA PREDIAL</t>
        </is>
      </c>
      <c r="C110" s="15" t="inlineStr">
        <is>
          <t>GO</t>
        </is>
      </c>
      <c r="D110" s="15" t="n">
        <v>4</v>
      </c>
      <c r="E110" s="15" t="n">
        <v>1</v>
      </c>
      <c r="F110" s="15">
        <f>D110+E110</f>
        <v/>
      </c>
      <c r="G110" s="20">
        <f>IF(F110=0,0,D110/F110)</f>
        <v/>
      </c>
      <c r="H110" s="15" t="n">
        <v>0</v>
      </c>
      <c r="I110" s="15" t="n">
        <v>0</v>
      </c>
      <c r="J110" s="15">
        <f>IF(E110=0,"Completo",IF(D110=0,"Sem preço","Parcial"))</f>
        <v/>
      </c>
    </row>
    <row r="111">
      <c r="A111" s="15" t="n">
        <v>1093</v>
      </c>
      <c r="B111" s="14" t="inlineStr">
        <is>
          <t>LIMPEZA PREDIAL</t>
        </is>
      </c>
      <c r="C111" s="15" t="inlineStr">
        <is>
          <t>GO</t>
        </is>
      </c>
      <c r="D111" s="15" t="n">
        <v>2</v>
      </c>
      <c r="E111" s="15" t="n">
        <v>3</v>
      </c>
      <c r="F111" s="15">
        <f>D111+E111</f>
        <v/>
      </c>
      <c r="G111" s="20">
        <f>IF(F111=0,0,D111/F111)</f>
        <v/>
      </c>
      <c r="H111" s="15" t="n">
        <v>1</v>
      </c>
      <c r="I111" s="15" t="n">
        <v>2</v>
      </c>
      <c r="J111" s="15">
        <f>IF(E111=0,"Completo",IF(D111=0,"Sem preço","Parcial"))</f>
        <v/>
      </c>
    </row>
    <row r="112">
      <c r="A112" s="15" t="n">
        <v>1094</v>
      </c>
      <c r="B112" s="14" t="inlineStr">
        <is>
          <t>LIMPEZA PREDIAL</t>
        </is>
      </c>
      <c r="C112" s="15" t="inlineStr">
        <is>
          <t>GO</t>
        </is>
      </c>
      <c r="D112" s="15" t="n">
        <v>0</v>
      </c>
      <c r="E112" s="15" t="n">
        <v>5</v>
      </c>
      <c r="F112" s="15">
        <f>D112+E112</f>
        <v/>
      </c>
      <c r="G112" s="20">
        <f>IF(F112=0,0,D112/F112)</f>
        <v/>
      </c>
      <c r="H112" s="15" t="n">
        <v>0</v>
      </c>
      <c r="I112" s="15" t="n">
        <v>0</v>
      </c>
      <c r="J112" s="15">
        <f>IF(E112=0,"Completo",IF(D112=0,"Sem preço","Parcial"))</f>
        <v/>
      </c>
    </row>
    <row r="113">
      <c r="A113" s="15" t="n">
        <v>1095</v>
      </c>
      <c r="B113" s="14" t="inlineStr">
        <is>
          <t>LIMPEZA PREDIAL</t>
        </is>
      </c>
      <c r="C113" s="15" t="inlineStr">
        <is>
          <t>GO</t>
        </is>
      </c>
      <c r="D113" s="15" t="n">
        <v>2</v>
      </c>
      <c r="E113" s="15" t="n">
        <v>3</v>
      </c>
      <c r="F113" s="15">
        <f>D113+E113</f>
        <v/>
      </c>
      <c r="G113" s="20">
        <f>IF(F113=0,0,D113/F113)</f>
        <v/>
      </c>
      <c r="H113" s="15" t="n">
        <v>0</v>
      </c>
      <c r="I113" s="15" t="n">
        <v>0</v>
      </c>
      <c r="J113" s="15">
        <f>IF(E113=0,"Completo",IF(D113=0,"Sem preço","Parcial"))</f>
        <v/>
      </c>
    </row>
    <row r="114">
      <c r="A114" s="15" t="n">
        <v>1096</v>
      </c>
      <c r="B114" s="14" t="inlineStr">
        <is>
          <t>LIMPEZA PREDIAL</t>
        </is>
      </c>
      <c r="C114" s="15" t="inlineStr">
        <is>
          <t>GO</t>
        </is>
      </c>
      <c r="D114" s="15" t="n">
        <v>4</v>
      </c>
      <c r="E114" s="15" t="n">
        <v>1</v>
      </c>
      <c r="F114" s="15">
        <f>D114+E114</f>
        <v/>
      </c>
      <c r="G114" s="20">
        <f>IF(F114=0,0,D114/F114)</f>
        <v/>
      </c>
      <c r="H114" s="15" t="n">
        <v>0</v>
      </c>
      <c r="I114" s="15" t="n">
        <v>1</v>
      </c>
      <c r="J114" s="15">
        <f>IF(E114=0,"Completo",IF(D114=0,"Sem preço","Parcial"))</f>
        <v/>
      </c>
    </row>
    <row r="115">
      <c r="A115" s="15" t="n">
        <v>1097</v>
      </c>
      <c r="B115" s="14" t="inlineStr">
        <is>
          <t>LIMPEZA PREDIAL</t>
        </is>
      </c>
      <c r="C115" s="15" t="inlineStr">
        <is>
          <t>GO</t>
        </is>
      </c>
      <c r="D115" s="15" t="n">
        <v>3</v>
      </c>
      <c r="E115" s="15" t="n">
        <v>2</v>
      </c>
      <c r="F115" s="15">
        <f>D115+E115</f>
        <v/>
      </c>
      <c r="G115" s="20">
        <f>IF(F115=0,0,D115/F115)</f>
        <v/>
      </c>
      <c r="H115" s="15" t="n">
        <v>0</v>
      </c>
      <c r="I115" s="15" t="n">
        <v>0</v>
      </c>
      <c r="J115" s="15">
        <f>IF(E115=0,"Completo",IF(D115=0,"Sem preço","Parcial"))</f>
        <v/>
      </c>
    </row>
    <row r="116">
      <c r="A116" s="15" t="n">
        <v>1098</v>
      </c>
      <c r="B116" s="14" t="inlineStr">
        <is>
          <t>LIMPEZA PREDIAL</t>
        </is>
      </c>
      <c r="C116" s="15" t="inlineStr">
        <is>
          <t>GO</t>
        </is>
      </c>
      <c r="D116" s="15" t="n">
        <v>0</v>
      </c>
      <c r="E116" s="15" t="n">
        <v>5</v>
      </c>
      <c r="F116" s="15">
        <f>D116+E116</f>
        <v/>
      </c>
      <c r="G116" s="20">
        <f>IF(F116=0,0,D116/F116)</f>
        <v/>
      </c>
      <c r="H116" s="15" t="n">
        <v>0</v>
      </c>
      <c r="I116" s="15" t="n">
        <v>0</v>
      </c>
      <c r="J116" s="15">
        <f>IF(E116=0,"Completo",IF(D116=0,"Sem preço","Parcial"))</f>
        <v/>
      </c>
    </row>
    <row r="117">
      <c r="A117" s="15" t="n">
        <v>1099</v>
      </c>
      <c r="B117" s="14" t="inlineStr">
        <is>
          <t>LIMPEZA PREDIAL</t>
        </is>
      </c>
      <c r="C117" s="15" t="inlineStr">
        <is>
          <t>GO</t>
        </is>
      </c>
      <c r="D117" s="15" t="n">
        <v>3</v>
      </c>
      <c r="E117" s="15" t="n">
        <v>2</v>
      </c>
      <c r="F117" s="15">
        <f>D117+E117</f>
        <v/>
      </c>
      <c r="G117" s="20">
        <f>IF(F117=0,0,D117/F117)</f>
        <v/>
      </c>
      <c r="H117" s="15" t="n">
        <v>0</v>
      </c>
      <c r="I117" s="15" t="n">
        <v>0</v>
      </c>
      <c r="J117" s="15">
        <f>IF(E117=0,"Completo",IF(D117=0,"Sem preço","Parcial"))</f>
        <v/>
      </c>
    </row>
    <row r="118">
      <c r="A118" s="15" t="n">
        <v>1100</v>
      </c>
      <c r="B118" s="14" t="inlineStr">
        <is>
          <t>LIMPEZA PREDIAL</t>
        </is>
      </c>
      <c r="C118" s="15" t="inlineStr">
        <is>
          <t>GO</t>
        </is>
      </c>
      <c r="D118" s="15" t="n">
        <v>2</v>
      </c>
      <c r="E118" s="15" t="n">
        <v>3</v>
      </c>
      <c r="F118" s="15">
        <f>D118+E118</f>
        <v/>
      </c>
      <c r="G118" s="20">
        <f>IF(F118=0,0,D118/F118)</f>
        <v/>
      </c>
      <c r="H118" s="15" t="n">
        <v>0</v>
      </c>
      <c r="I118" s="15" t="n">
        <v>0</v>
      </c>
      <c r="J118" s="15">
        <f>IF(E118=0,"Completo",IF(D118=0,"Sem preço","Parcial"))</f>
        <v/>
      </c>
    </row>
    <row r="119">
      <c r="A119" s="15" t="n">
        <v>1101</v>
      </c>
      <c r="B119" s="14" t="inlineStr">
        <is>
          <t>LIMPEZA PREDIAL</t>
        </is>
      </c>
      <c r="C119" s="15" t="inlineStr">
        <is>
          <t>GO</t>
        </is>
      </c>
      <c r="D119" s="15" t="n">
        <v>2</v>
      </c>
      <c r="E119" s="15" t="n">
        <v>3</v>
      </c>
      <c r="F119" s="15">
        <f>D119+E119</f>
        <v/>
      </c>
      <c r="G119" s="20">
        <f>IF(F119=0,0,D119/F119)</f>
        <v/>
      </c>
      <c r="H119" s="15" t="n">
        <v>1</v>
      </c>
      <c r="I119" s="15" t="n">
        <v>0</v>
      </c>
      <c r="J119" s="15">
        <f>IF(E119=0,"Completo",IF(D119=0,"Sem preço","Parcial"))</f>
        <v/>
      </c>
    </row>
    <row r="120">
      <c r="A120" s="15" t="n">
        <v>1102</v>
      </c>
      <c r="B120" s="14" t="inlineStr">
        <is>
          <t>LIMPEZA PREDIAL</t>
        </is>
      </c>
      <c r="C120" s="15" t="inlineStr">
        <is>
          <t>GO</t>
        </is>
      </c>
      <c r="D120" s="15" t="n">
        <v>2</v>
      </c>
      <c r="E120" s="15" t="n">
        <v>3</v>
      </c>
      <c r="F120" s="15">
        <f>D120+E120</f>
        <v/>
      </c>
      <c r="G120" s="20">
        <f>IF(F120=0,0,D120/F120)</f>
        <v/>
      </c>
      <c r="H120" s="15" t="n">
        <v>1</v>
      </c>
      <c r="I120" s="15" t="n">
        <v>1</v>
      </c>
      <c r="J120" s="15">
        <f>IF(E120=0,"Completo",IF(D120=0,"Sem preço","Parcial"))</f>
        <v/>
      </c>
    </row>
    <row r="121">
      <c r="A121" s="15" t="n">
        <v>1103</v>
      </c>
      <c r="B121" s="14" t="inlineStr">
        <is>
          <t>LIMPEZA PREDIAL</t>
        </is>
      </c>
      <c r="C121" s="15" t="inlineStr">
        <is>
          <t>GO</t>
        </is>
      </c>
      <c r="D121" s="15" t="n">
        <v>2</v>
      </c>
      <c r="E121" s="15" t="n">
        <v>3</v>
      </c>
      <c r="F121" s="15">
        <f>D121+E121</f>
        <v/>
      </c>
      <c r="G121" s="20">
        <f>IF(F121=0,0,D121/F121)</f>
        <v/>
      </c>
      <c r="H121" s="15" t="n">
        <v>1</v>
      </c>
      <c r="I121" s="15" t="n">
        <v>0</v>
      </c>
      <c r="J121" s="15">
        <f>IF(E121=0,"Completo",IF(D121=0,"Sem preço","Parcial"))</f>
        <v/>
      </c>
    </row>
    <row r="123">
      <c r="A123" s="21" t="inlineStr">
        <is>
          <t>Notas:</t>
        </is>
      </c>
    </row>
    <row r="124">
      <c r="A124" s="22" t="inlineStr">
        <is>
          <t>• Fonte: arquivos resumo_coleta.csv de FNDE/Centro Oeste/Entrega (EPI UNIFORME, LIMPEZA E HIGIENE, LIMPEZA PREDIAL).</t>
        </is>
      </c>
    </row>
    <row r="125">
      <c r="A125" s="22" t="inlineStr">
        <is>
          <t>• Meta = Preços coletados + Faltam (5 por item). Colunas H/I ficam vazias quando o CSV do grupo não traz essa informação.</t>
        </is>
      </c>
    </row>
    <row r="126">
      <c r="A126" s="22" t="inlineStr">
        <is>
          <t>• Excluídas do CSV de EPI UNIFORME por pertencerem a outro grupo (já constam no CSV próprio): ID 1000 (LIMPEZA E HIGIENE); ID 1056 (LIMPEZA PREDIAL).</t>
        </is>
      </c>
    </row>
  </sheetData>
  <conditionalFormatting sqref="G2:G121">
    <cfRule type="dataBar" priority="1">
      <dataBar>
        <cfvo type="num" val="0"/>
        <cfvo type="num" val="1"/>
        <color rgb="002F6DB5"/>
      </dataBar>
    </cfRule>
  </conditionalFormatting>
  <conditionalFormatting sqref="J2:J121">
    <cfRule type="cellIs" priority="2" operator="equal" dxfId="0">
      <formula>"Completo"</formula>
    </cfRule>
    <cfRule type="cellIs" priority="3" operator="equal" dxfId="1">
      <formula>"Sem preço"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3" t="inlineStr">
        <is>
          <t>ID FGV</t>
        </is>
      </c>
      <c r="B1" s="13" t="inlineStr">
        <is>
          <t>Coletados</t>
        </is>
      </c>
      <c r="C1" s="13" t="inlineStr">
        <is>
          <t>Faltam</t>
        </is>
      </c>
    </row>
    <row r="2">
      <c r="A2" s="23" t="inlineStr">
        <is>
          <t>1104</t>
        </is>
      </c>
      <c r="B2" s="23">
        <f>INDEX(Dados!$D$2:$D$121,MATCH(1104,Dados!$A$2:$A$121,0))</f>
        <v/>
      </c>
      <c r="C2" s="23">
        <f>INDEX(Dados!$E$2:$E$121,MATCH(1104,Dados!$A$2:$A$121,0))</f>
        <v/>
      </c>
    </row>
    <row r="3">
      <c r="A3" s="23" t="inlineStr">
        <is>
          <t>1105</t>
        </is>
      </c>
      <c r="B3" s="23">
        <f>INDEX(Dados!$D$2:$D$121,MATCH(1105,Dados!$A$2:$A$121,0))</f>
        <v/>
      </c>
      <c r="C3" s="23">
        <f>INDEX(Dados!$E$2:$E$121,MATCH(1105,Dados!$A$2:$A$121,0))</f>
        <v/>
      </c>
    </row>
    <row r="4">
      <c r="A4" s="23" t="inlineStr">
        <is>
          <t>1106</t>
        </is>
      </c>
      <c r="B4" s="23">
        <f>INDEX(Dados!$D$2:$D$121,MATCH(1106,Dados!$A$2:$A$121,0))</f>
        <v/>
      </c>
      <c r="C4" s="23">
        <f>INDEX(Dados!$E$2:$E$121,MATCH(1106,Dados!$A$2:$A$121,0))</f>
        <v/>
      </c>
    </row>
    <row r="5">
      <c r="A5" s="23" t="inlineStr">
        <is>
          <t>1107</t>
        </is>
      </c>
      <c r="B5" s="23">
        <f>INDEX(Dados!$D$2:$D$121,MATCH(1107,Dados!$A$2:$A$121,0))</f>
        <v/>
      </c>
      <c r="C5" s="23">
        <f>INDEX(Dados!$E$2:$E$121,MATCH(1107,Dados!$A$2:$A$121,0))</f>
        <v/>
      </c>
    </row>
    <row r="6">
      <c r="A6" s="23" t="inlineStr">
        <is>
          <t>1108</t>
        </is>
      </c>
      <c r="B6" s="23">
        <f>INDEX(Dados!$D$2:$D$121,MATCH(1108,Dados!$A$2:$A$121,0))</f>
        <v/>
      </c>
      <c r="C6" s="23">
        <f>INDEX(Dados!$E$2:$E$121,MATCH(1108,Dados!$A$2:$A$121,0))</f>
        <v/>
      </c>
    </row>
    <row r="7">
      <c r="A7" s="23" t="inlineStr">
        <is>
          <t>1109</t>
        </is>
      </c>
      <c r="B7" s="23">
        <f>INDEX(Dados!$D$2:$D$121,MATCH(1109,Dados!$A$2:$A$121,0))</f>
        <v/>
      </c>
      <c r="C7" s="23">
        <f>INDEX(Dados!$E$2:$E$121,MATCH(1109,Dados!$A$2:$A$121,0))</f>
        <v/>
      </c>
    </row>
    <row r="8">
      <c r="A8" s="23" t="inlineStr">
        <is>
          <t>1110</t>
        </is>
      </c>
      <c r="B8" s="23">
        <f>INDEX(Dados!$D$2:$D$121,MATCH(1110,Dados!$A$2:$A$121,0))</f>
        <v/>
      </c>
      <c r="C8" s="23">
        <f>INDEX(Dados!$E$2:$E$121,MATCH(1110,Dados!$A$2:$A$121,0))</f>
        <v/>
      </c>
    </row>
    <row r="9">
      <c r="A9" s="23" t="inlineStr">
        <is>
          <t>1111</t>
        </is>
      </c>
      <c r="B9" s="23">
        <f>INDEX(Dados!$D$2:$D$121,MATCH(1111,Dados!$A$2:$A$121,0))</f>
        <v/>
      </c>
      <c r="C9" s="23">
        <f>INDEX(Dados!$E$2:$E$121,MATCH(1111,Dados!$A$2:$A$121,0))</f>
        <v/>
      </c>
    </row>
    <row r="10">
      <c r="A10" s="23" t="inlineStr">
        <is>
          <t>1112</t>
        </is>
      </c>
      <c r="B10" s="23">
        <f>INDEX(Dados!$D$2:$D$121,MATCH(1112,Dados!$A$2:$A$121,0))</f>
        <v/>
      </c>
      <c r="C10" s="23">
        <f>INDEX(Dados!$E$2:$E$121,MATCH(1112,Dados!$A$2:$A$121,0))</f>
        <v/>
      </c>
    </row>
    <row r="11">
      <c r="A11" s="23" t="inlineStr">
        <is>
          <t>1113</t>
        </is>
      </c>
      <c r="B11" s="23">
        <f>INDEX(Dados!$D$2:$D$121,MATCH(1113,Dados!$A$2:$A$121,0))</f>
        <v/>
      </c>
      <c r="C11" s="23">
        <f>INDEX(Dados!$E$2:$E$121,MATCH(1113,Dados!$A$2:$A$121,0))</f>
        <v/>
      </c>
    </row>
    <row r="12">
      <c r="A12" s="23" t="inlineStr">
        <is>
          <t>1114</t>
        </is>
      </c>
      <c r="B12" s="23">
        <f>INDEX(Dados!$D$2:$D$121,MATCH(1114,Dados!$A$2:$A$121,0))</f>
        <v/>
      </c>
      <c r="C12" s="23">
        <f>INDEX(Dados!$E$2:$E$121,MATCH(1114,Dados!$A$2:$A$121,0))</f>
        <v/>
      </c>
    </row>
    <row r="13">
      <c r="A13" s="23" t="inlineStr">
        <is>
          <t>1115</t>
        </is>
      </c>
      <c r="B13" s="23">
        <f>INDEX(Dados!$D$2:$D$121,MATCH(1115,Dados!$A$2:$A$121,0))</f>
        <v/>
      </c>
      <c r="C13" s="23">
        <f>INDEX(Dados!$E$2:$E$121,MATCH(1115,Dados!$A$2:$A$121,0))</f>
        <v/>
      </c>
    </row>
    <row r="14">
      <c r="A14" s="23" t="inlineStr">
        <is>
          <t>1116</t>
        </is>
      </c>
      <c r="B14" s="23">
        <f>INDEX(Dados!$D$2:$D$121,MATCH(1116,Dados!$A$2:$A$121,0))</f>
        <v/>
      </c>
      <c r="C14" s="23">
        <f>INDEX(Dados!$E$2:$E$121,MATCH(1116,Dados!$A$2:$A$121,0))</f>
        <v/>
      </c>
    </row>
    <row r="15">
      <c r="A15" s="23" t="inlineStr">
        <is>
          <t>1117</t>
        </is>
      </c>
      <c r="B15" s="23">
        <f>INDEX(Dados!$D$2:$D$121,MATCH(1117,Dados!$A$2:$A$121,0))</f>
        <v/>
      </c>
      <c r="C15" s="23">
        <f>INDEX(Dados!$E$2:$E$121,MATCH(1117,Dados!$A$2:$A$121,0))</f>
        <v/>
      </c>
    </row>
    <row r="16">
      <c r="A16" s="23" t="inlineStr">
        <is>
          <t>1118</t>
        </is>
      </c>
      <c r="B16" s="23">
        <f>INDEX(Dados!$D$2:$D$121,MATCH(1118,Dados!$A$2:$A$121,0))</f>
        <v/>
      </c>
      <c r="C16" s="23">
        <f>INDEX(Dados!$E$2:$E$121,MATCH(1118,Dados!$A$2:$A$121,0))</f>
        <v/>
      </c>
    </row>
    <row r="17">
      <c r="A17" s="23" t="inlineStr">
        <is>
          <t>1119</t>
        </is>
      </c>
      <c r="B17" s="23">
        <f>INDEX(Dados!$D$2:$D$121,MATCH(1119,Dados!$A$2:$A$121,0))</f>
        <v/>
      </c>
      <c r="C17" s="23">
        <f>INDEX(Dados!$E$2:$E$121,MATCH(1119,Dados!$A$2:$A$121,0))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3" t="inlineStr">
        <is>
          <t>ID FGV</t>
        </is>
      </c>
      <c r="B1" s="13" t="inlineStr">
        <is>
          <t>Coletados</t>
        </is>
      </c>
      <c r="C1" s="13" t="inlineStr">
        <is>
          <t>Faltam</t>
        </is>
      </c>
    </row>
    <row r="2">
      <c r="A2" s="23" t="inlineStr">
        <is>
          <t>1000</t>
        </is>
      </c>
      <c r="B2" s="23">
        <f>INDEX(Dados!$D$2:$D$121,MATCH(1000,Dados!$A$2:$A$121,0))</f>
        <v/>
      </c>
      <c r="C2" s="23">
        <f>INDEX(Dados!$E$2:$E$121,MATCH(1000,Dados!$A$2:$A$121,0))</f>
        <v/>
      </c>
    </row>
    <row r="3">
      <c r="A3" s="23" t="inlineStr">
        <is>
          <t>1001</t>
        </is>
      </c>
      <c r="B3" s="23">
        <f>INDEX(Dados!$D$2:$D$121,MATCH(1001,Dados!$A$2:$A$121,0))</f>
        <v/>
      </c>
      <c r="C3" s="23">
        <f>INDEX(Dados!$E$2:$E$121,MATCH(1001,Dados!$A$2:$A$121,0))</f>
        <v/>
      </c>
    </row>
    <row r="4">
      <c r="A4" s="23" t="inlineStr">
        <is>
          <t>1002</t>
        </is>
      </c>
      <c r="B4" s="23">
        <f>INDEX(Dados!$D$2:$D$121,MATCH(1002,Dados!$A$2:$A$121,0))</f>
        <v/>
      </c>
      <c r="C4" s="23">
        <f>INDEX(Dados!$E$2:$E$121,MATCH(1002,Dados!$A$2:$A$121,0))</f>
        <v/>
      </c>
    </row>
    <row r="5">
      <c r="A5" s="23" t="inlineStr">
        <is>
          <t>1003</t>
        </is>
      </c>
      <c r="B5" s="23">
        <f>INDEX(Dados!$D$2:$D$121,MATCH(1003,Dados!$A$2:$A$121,0))</f>
        <v/>
      </c>
      <c r="C5" s="23">
        <f>INDEX(Dados!$E$2:$E$121,MATCH(1003,Dados!$A$2:$A$121,0))</f>
        <v/>
      </c>
    </row>
    <row r="6">
      <c r="A6" s="23" t="inlineStr">
        <is>
          <t>1004</t>
        </is>
      </c>
      <c r="B6" s="23">
        <f>INDEX(Dados!$D$2:$D$121,MATCH(1004,Dados!$A$2:$A$121,0))</f>
        <v/>
      </c>
      <c r="C6" s="23">
        <f>INDEX(Dados!$E$2:$E$121,MATCH(1004,Dados!$A$2:$A$121,0))</f>
        <v/>
      </c>
    </row>
    <row r="7">
      <c r="A7" s="23" t="inlineStr">
        <is>
          <t>1005</t>
        </is>
      </c>
      <c r="B7" s="23">
        <f>INDEX(Dados!$D$2:$D$121,MATCH(1005,Dados!$A$2:$A$121,0))</f>
        <v/>
      </c>
      <c r="C7" s="23">
        <f>INDEX(Dados!$E$2:$E$121,MATCH(1005,Dados!$A$2:$A$121,0))</f>
        <v/>
      </c>
    </row>
    <row r="8">
      <c r="A8" s="23" t="inlineStr">
        <is>
          <t>1006</t>
        </is>
      </c>
      <c r="B8" s="23">
        <f>INDEX(Dados!$D$2:$D$121,MATCH(1006,Dados!$A$2:$A$121,0))</f>
        <v/>
      </c>
      <c r="C8" s="23">
        <f>INDEX(Dados!$E$2:$E$121,MATCH(1006,Dados!$A$2:$A$121,0))</f>
        <v/>
      </c>
    </row>
    <row r="9">
      <c r="A9" s="23" t="inlineStr">
        <is>
          <t>1007</t>
        </is>
      </c>
      <c r="B9" s="23">
        <f>INDEX(Dados!$D$2:$D$121,MATCH(1007,Dados!$A$2:$A$121,0))</f>
        <v/>
      </c>
      <c r="C9" s="23">
        <f>INDEX(Dados!$E$2:$E$121,MATCH(1007,Dados!$A$2:$A$121,0))</f>
        <v/>
      </c>
    </row>
    <row r="10">
      <c r="A10" s="23" t="inlineStr">
        <is>
          <t>1008</t>
        </is>
      </c>
      <c r="B10" s="23">
        <f>INDEX(Dados!$D$2:$D$121,MATCH(1008,Dados!$A$2:$A$121,0))</f>
        <v/>
      </c>
      <c r="C10" s="23">
        <f>INDEX(Dados!$E$2:$E$121,MATCH(1008,Dados!$A$2:$A$121,0))</f>
        <v/>
      </c>
    </row>
    <row r="11">
      <c r="A11" s="23" t="inlineStr">
        <is>
          <t>1009</t>
        </is>
      </c>
      <c r="B11" s="23">
        <f>INDEX(Dados!$D$2:$D$121,MATCH(1009,Dados!$A$2:$A$121,0))</f>
        <v/>
      </c>
      <c r="C11" s="23">
        <f>INDEX(Dados!$E$2:$E$121,MATCH(1009,Dados!$A$2:$A$121,0))</f>
        <v/>
      </c>
    </row>
    <row r="12">
      <c r="A12" s="23" t="inlineStr">
        <is>
          <t>1010</t>
        </is>
      </c>
      <c r="B12" s="23">
        <f>INDEX(Dados!$D$2:$D$121,MATCH(1010,Dados!$A$2:$A$121,0))</f>
        <v/>
      </c>
      <c r="C12" s="23">
        <f>INDEX(Dados!$E$2:$E$121,MATCH(1010,Dados!$A$2:$A$121,0))</f>
        <v/>
      </c>
    </row>
    <row r="13">
      <c r="A13" s="23" t="inlineStr">
        <is>
          <t>1011</t>
        </is>
      </c>
      <c r="B13" s="23">
        <f>INDEX(Dados!$D$2:$D$121,MATCH(1011,Dados!$A$2:$A$121,0))</f>
        <v/>
      </c>
      <c r="C13" s="23">
        <f>INDEX(Dados!$E$2:$E$121,MATCH(1011,Dados!$A$2:$A$121,0))</f>
        <v/>
      </c>
    </row>
    <row r="14">
      <c r="A14" s="23" t="inlineStr">
        <is>
          <t>1012</t>
        </is>
      </c>
      <c r="B14" s="23">
        <f>INDEX(Dados!$D$2:$D$121,MATCH(1012,Dados!$A$2:$A$121,0))</f>
        <v/>
      </c>
      <c r="C14" s="23">
        <f>INDEX(Dados!$E$2:$E$121,MATCH(1012,Dados!$A$2:$A$121,0))</f>
        <v/>
      </c>
    </row>
    <row r="15">
      <c r="A15" s="23" t="inlineStr">
        <is>
          <t>1013</t>
        </is>
      </c>
      <c r="B15" s="23">
        <f>INDEX(Dados!$D$2:$D$121,MATCH(1013,Dados!$A$2:$A$121,0))</f>
        <v/>
      </c>
      <c r="C15" s="23">
        <f>INDEX(Dados!$E$2:$E$121,MATCH(1013,Dados!$A$2:$A$121,0))</f>
        <v/>
      </c>
    </row>
    <row r="16">
      <c r="A16" s="23" t="inlineStr">
        <is>
          <t>1014</t>
        </is>
      </c>
      <c r="B16" s="23">
        <f>INDEX(Dados!$D$2:$D$121,MATCH(1014,Dados!$A$2:$A$121,0))</f>
        <v/>
      </c>
      <c r="C16" s="23">
        <f>INDEX(Dados!$E$2:$E$121,MATCH(1014,Dados!$A$2:$A$121,0))</f>
        <v/>
      </c>
    </row>
    <row r="17">
      <c r="A17" s="23" t="inlineStr">
        <is>
          <t>1015</t>
        </is>
      </c>
      <c r="B17" s="23">
        <f>INDEX(Dados!$D$2:$D$121,MATCH(1015,Dados!$A$2:$A$121,0))</f>
        <v/>
      </c>
      <c r="C17" s="23">
        <f>INDEX(Dados!$E$2:$E$121,MATCH(1015,Dados!$A$2:$A$121,0))</f>
        <v/>
      </c>
    </row>
    <row r="18">
      <c r="A18" s="23" t="inlineStr">
        <is>
          <t>1016</t>
        </is>
      </c>
      <c r="B18" s="23">
        <f>INDEX(Dados!$D$2:$D$121,MATCH(1016,Dados!$A$2:$A$121,0))</f>
        <v/>
      </c>
      <c r="C18" s="23">
        <f>INDEX(Dados!$E$2:$E$121,MATCH(1016,Dados!$A$2:$A$121,0))</f>
        <v/>
      </c>
    </row>
    <row r="19">
      <c r="A19" s="23" t="inlineStr">
        <is>
          <t>1017</t>
        </is>
      </c>
      <c r="B19" s="23">
        <f>INDEX(Dados!$D$2:$D$121,MATCH(1017,Dados!$A$2:$A$121,0))</f>
        <v/>
      </c>
      <c r="C19" s="23">
        <f>INDEX(Dados!$E$2:$E$121,MATCH(1017,Dados!$A$2:$A$121,0))</f>
        <v/>
      </c>
    </row>
    <row r="20">
      <c r="A20" s="23" t="inlineStr">
        <is>
          <t>1018</t>
        </is>
      </c>
      <c r="B20" s="23">
        <f>INDEX(Dados!$D$2:$D$121,MATCH(1018,Dados!$A$2:$A$121,0))</f>
        <v/>
      </c>
      <c r="C20" s="23">
        <f>INDEX(Dados!$E$2:$E$121,MATCH(1018,Dados!$A$2:$A$121,0))</f>
        <v/>
      </c>
    </row>
    <row r="21">
      <c r="A21" s="23" t="inlineStr">
        <is>
          <t>1019</t>
        </is>
      </c>
      <c r="B21" s="23">
        <f>INDEX(Dados!$D$2:$D$121,MATCH(1019,Dados!$A$2:$A$121,0))</f>
        <v/>
      </c>
      <c r="C21" s="23">
        <f>INDEX(Dados!$E$2:$E$121,MATCH(1019,Dados!$A$2:$A$121,0))</f>
        <v/>
      </c>
    </row>
    <row r="22">
      <c r="A22" s="23" t="inlineStr">
        <is>
          <t>1020</t>
        </is>
      </c>
      <c r="B22" s="23">
        <f>INDEX(Dados!$D$2:$D$121,MATCH(1020,Dados!$A$2:$A$121,0))</f>
        <v/>
      </c>
      <c r="C22" s="23">
        <f>INDEX(Dados!$E$2:$E$121,MATCH(1020,Dados!$A$2:$A$121,0))</f>
        <v/>
      </c>
    </row>
    <row r="23">
      <c r="A23" s="23" t="inlineStr">
        <is>
          <t>1021</t>
        </is>
      </c>
      <c r="B23" s="23">
        <f>INDEX(Dados!$D$2:$D$121,MATCH(1021,Dados!$A$2:$A$121,0))</f>
        <v/>
      </c>
      <c r="C23" s="23">
        <f>INDEX(Dados!$E$2:$E$121,MATCH(1021,Dados!$A$2:$A$121,0))</f>
        <v/>
      </c>
    </row>
    <row r="24">
      <c r="A24" s="23" t="inlineStr">
        <is>
          <t>1022</t>
        </is>
      </c>
      <c r="B24" s="23">
        <f>INDEX(Dados!$D$2:$D$121,MATCH(1022,Dados!$A$2:$A$121,0))</f>
        <v/>
      </c>
      <c r="C24" s="23">
        <f>INDEX(Dados!$E$2:$E$121,MATCH(1022,Dados!$A$2:$A$121,0))</f>
        <v/>
      </c>
    </row>
    <row r="25">
      <c r="A25" s="23" t="inlineStr">
        <is>
          <t>1023</t>
        </is>
      </c>
      <c r="B25" s="23">
        <f>INDEX(Dados!$D$2:$D$121,MATCH(1023,Dados!$A$2:$A$121,0))</f>
        <v/>
      </c>
      <c r="C25" s="23">
        <f>INDEX(Dados!$E$2:$E$121,MATCH(1023,Dados!$A$2:$A$121,0))</f>
        <v/>
      </c>
    </row>
    <row r="26">
      <c r="A26" s="23" t="inlineStr">
        <is>
          <t>1024</t>
        </is>
      </c>
      <c r="B26" s="23">
        <f>INDEX(Dados!$D$2:$D$121,MATCH(1024,Dados!$A$2:$A$121,0))</f>
        <v/>
      </c>
      <c r="C26" s="23">
        <f>INDEX(Dados!$E$2:$E$121,MATCH(1024,Dados!$A$2:$A$121,0))</f>
        <v/>
      </c>
    </row>
    <row r="27">
      <c r="A27" s="23" t="inlineStr">
        <is>
          <t>1025</t>
        </is>
      </c>
      <c r="B27" s="23">
        <f>INDEX(Dados!$D$2:$D$121,MATCH(1025,Dados!$A$2:$A$121,0))</f>
        <v/>
      </c>
      <c r="C27" s="23">
        <f>INDEX(Dados!$E$2:$E$121,MATCH(1025,Dados!$A$2:$A$121,0))</f>
        <v/>
      </c>
    </row>
    <row r="28">
      <c r="A28" s="23" t="inlineStr">
        <is>
          <t>1026</t>
        </is>
      </c>
      <c r="B28" s="23">
        <f>INDEX(Dados!$D$2:$D$121,MATCH(1026,Dados!$A$2:$A$121,0))</f>
        <v/>
      </c>
      <c r="C28" s="23">
        <f>INDEX(Dados!$E$2:$E$121,MATCH(1026,Dados!$A$2:$A$121,0))</f>
        <v/>
      </c>
    </row>
    <row r="29">
      <c r="A29" s="23" t="inlineStr">
        <is>
          <t>1027</t>
        </is>
      </c>
      <c r="B29" s="23">
        <f>INDEX(Dados!$D$2:$D$121,MATCH(1027,Dados!$A$2:$A$121,0))</f>
        <v/>
      </c>
      <c r="C29" s="23">
        <f>INDEX(Dados!$E$2:$E$121,MATCH(1027,Dados!$A$2:$A$121,0))</f>
        <v/>
      </c>
    </row>
    <row r="30">
      <c r="A30" s="23" t="inlineStr">
        <is>
          <t>1028</t>
        </is>
      </c>
      <c r="B30" s="23">
        <f>INDEX(Dados!$D$2:$D$121,MATCH(1028,Dados!$A$2:$A$121,0))</f>
        <v/>
      </c>
      <c r="C30" s="23">
        <f>INDEX(Dados!$E$2:$E$121,MATCH(1028,Dados!$A$2:$A$121,0))</f>
        <v/>
      </c>
    </row>
    <row r="31">
      <c r="A31" s="23" t="inlineStr">
        <is>
          <t>1029</t>
        </is>
      </c>
      <c r="B31" s="23">
        <f>INDEX(Dados!$D$2:$D$121,MATCH(1029,Dados!$A$2:$A$121,0))</f>
        <v/>
      </c>
      <c r="C31" s="23">
        <f>INDEX(Dados!$E$2:$E$121,MATCH(1029,Dados!$A$2:$A$121,0))</f>
        <v/>
      </c>
    </row>
    <row r="32">
      <c r="A32" s="23" t="inlineStr">
        <is>
          <t>1030</t>
        </is>
      </c>
      <c r="B32" s="23">
        <f>INDEX(Dados!$D$2:$D$121,MATCH(1030,Dados!$A$2:$A$121,0))</f>
        <v/>
      </c>
      <c r="C32" s="23">
        <f>INDEX(Dados!$E$2:$E$121,MATCH(1030,Dados!$A$2:$A$121,0))</f>
        <v/>
      </c>
    </row>
    <row r="33">
      <c r="A33" s="23" t="inlineStr">
        <is>
          <t>1031</t>
        </is>
      </c>
      <c r="B33" s="23">
        <f>INDEX(Dados!$D$2:$D$121,MATCH(1031,Dados!$A$2:$A$121,0))</f>
        <v/>
      </c>
      <c r="C33" s="23">
        <f>INDEX(Dados!$E$2:$E$121,MATCH(1031,Dados!$A$2:$A$121,0))</f>
        <v/>
      </c>
    </row>
    <row r="34">
      <c r="A34" s="23" t="inlineStr">
        <is>
          <t>1032</t>
        </is>
      </c>
      <c r="B34" s="23">
        <f>INDEX(Dados!$D$2:$D$121,MATCH(1032,Dados!$A$2:$A$121,0))</f>
        <v/>
      </c>
      <c r="C34" s="23">
        <f>INDEX(Dados!$E$2:$E$121,MATCH(1032,Dados!$A$2:$A$121,0))</f>
        <v/>
      </c>
    </row>
    <row r="35">
      <c r="A35" s="23" t="inlineStr">
        <is>
          <t>1033</t>
        </is>
      </c>
      <c r="B35" s="23">
        <f>INDEX(Dados!$D$2:$D$121,MATCH(1033,Dados!$A$2:$A$121,0))</f>
        <v/>
      </c>
      <c r="C35" s="23">
        <f>INDEX(Dados!$E$2:$E$121,MATCH(1033,Dados!$A$2:$A$121,0))</f>
        <v/>
      </c>
    </row>
    <row r="36">
      <c r="A36" s="23" t="inlineStr">
        <is>
          <t>1034</t>
        </is>
      </c>
      <c r="B36" s="23">
        <f>INDEX(Dados!$D$2:$D$121,MATCH(1034,Dados!$A$2:$A$121,0))</f>
        <v/>
      </c>
      <c r="C36" s="23">
        <f>INDEX(Dados!$E$2:$E$121,MATCH(1034,Dados!$A$2:$A$121,0))</f>
        <v/>
      </c>
    </row>
    <row r="37">
      <c r="A37" s="23" t="inlineStr">
        <is>
          <t>1035</t>
        </is>
      </c>
      <c r="B37" s="23">
        <f>INDEX(Dados!$D$2:$D$121,MATCH(1035,Dados!$A$2:$A$121,0))</f>
        <v/>
      </c>
      <c r="C37" s="23">
        <f>INDEX(Dados!$E$2:$E$121,MATCH(1035,Dados!$A$2:$A$121,0))</f>
        <v/>
      </c>
    </row>
    <row r="38">
      <c r="A38" s="23" t="inlineStr">
        <is>
          <t>1036</t>
        </is>
      </c>
      <c r="B38" s="23">
        <f>INDEX(Dados!$D$2:$D$121,MATCH(1036,Dados!$A$2:$A$121,0))</f>
        <v/>
      </c>
      <c r="C38" s="23">
        <f>INDEX(Dados!$E$2:$E$121,MATCH(1036,Dados!$A$2:$A$121,0))</f>
        <v/>
      </c>
    </row>
    <row r="39">
      <c r="A39" s="23" t="inlineStr">
        <is>
          <t>1037</t>
        </is>
      </c>
      <c r="B39" s="23">
        <f>INDEX(Dados!$D$2:$D$121,MATCH(1037,Dados!$A$2:$A$121,0))</f>
        <v/>
      </c>
      <c r="C39" s="23">
        <f>INDEX(Dados!$E$2:$E$121,MATCH(1037,Dados!$A$2:$A$121,0))</f>
        <v/>
      </c>
    </row>
    <row r="40">
      <c r="A40" s="23" t="inlineStr">
        <is>
          <t>1038</t>
        </is>
      </c>
      <c r="B40" s="23">
        <f>INDEX(Dados!$D$2:$D$121,MATCH(1038,Dados!$A$2:$A$121,0))</f>
        <v/>
      </c>
      <c r="C40" s="23">
        <f>INDEX(Dados!$E$2:$E$121,MATCH(1038,Dados!$A$2:$A$121,0))</f>
        <v/>
      </c>
    </row>
    <row r="41">
      <c r="A41" s="23" t="inlineStr">
        <is>
          <t>1039</t>
        </is>
      </c>
      <c r="B41" s="23">
        <f>INDEX(Dados!$D$2:$D$121,MATCH(1039,Dados!$A$2:$A$121,0))</f>
        <v/>
      </c>
      <c r="C41" s="23">
        <f>INDEX(Dados!$E$2:$E$121,MATCH(1039,Dados!$A$2:$A$121,0))</f>
        <v/>
      </c>
    </row>
    <row r="42">
      <c r="A42" s="23" t="inlineStr">
        <is>
          <t>1040</t>
        </is>
      </c>
      <c r="B42" s="23">
        <f>INDEX(Dados!$D$2:$D$121,MATCH(1040,Dados!$A$2:$A$121,0))</f>
        <v/>
      </c>
      <c r="C42" s="23">
        <f>INDEX(Dados!$E$2:$E$121,MATCH(1040,Dados!$A$2:$A$121,0))</f>
        <v/>
      </c>
    </row>
    <row r="43">
      <c r="A43" s="23" t="inlineStr">
        <is>
          <t>1041</t>
        </is>
      </c>
      <c r="B43" s="23">
        <f>INDEX(Dados!$D$2:$D$121,MATCH(1041,Dados!$A$2:$A$121,0))</f>
        <v/>
      </c>
      <c r="C43" s="23">
        <f>INDEX(Dados!$E$2:$E$121,MATCH(1041,Dados!$A$2:$A$121,0))</f>
        <v/>
      </c>
    </row>
    <row r="44">
      <c r="A44" s="23" t="inlineStr">
        <is>
          <t>1042</t>
        </is>
      </c>
      <c r="B44" s="23">
        <f>INDEX(Dados!$D$2:$D$121,MATCH(1042,Dados!$A$2:$A$121,0))</f>
        <v/>
      </c>
      <c r="C44" s="23">
        <f>INDEX(Dados!$E$2:$E$121,MATCH(1042,Dados!$A$2:$A$121,0))</f>
        <v/>
      </c>
    </row>
    <row r="45">
      <c r="A45" s="23" t="inlineStr">
        <is>
          <t>1043</t>
        </is>
      </c>
      <c r="B45" s="23">
        <f>INDEX(Dados!$D$2:$D$121,MATCH(1043,Dados!$A$2:$A$121,0))</f>
        <v/>
      </c>
      <c r="C45" s="23">
        <f>INDEX(Dados!$E$2:$E$121,MATCH(1043,Dados!$A$2:$A$121,0))</f>
        <v/>
      </c>
    </row>
    <row r="46">
      <c r="A46" s="23" t="inlineStr">
        <is>
          <t>1044</t>
        </is>
      </c>
      <c r="B46" s="23">
        <f>INDEX(Dados!$D$2:$D$121,MATCH(1044,Dados!$A$2:$A$121,0))</f>
        <v/>
      </c>
      <c r="C46" s="23">
        <f>INDEX(Dados!$E$2:$E$121,MATCH(1044,Dados!$A$2:$A$121,0))</f>
        <v/>
      </c>
    </row>
    <row r="47">
      <c r="A47" s="23" t="inlineStr">
        <is>
          <t>1045</t>
        </is>
      </c>
      <c r="B47" s="23">
        <f>INDEX(Dados!$D$2:$D$121,MATCH(1045,Dados!$A$2:$A$121,0))</f>
        <v/>
      </c>
      <c r="C47" s="23">
        <f>INDEX(Dados!$E$2:$E$121,MATCH(1045,Dados!$A$2:$A$121,0))</f>
        <v/>
      </c>
    </row>
    <row r="48">
      <c r="A48" s="23" t="inlineStr">
        <is>
          <t>1046</t>
        </is>
      </c>
      <c r="B48" s="23">
        <f>INDEX(Dados!$D$2:$D$121,MATCH(1046,Dados!$A$2:$A$121,0))</f>
        <v/>
      </c>
      <c r="C48" s="23">
        <f>INDEX(Dados!$E$2:$E$121,MATCH(1046,Dados!$A$2:$A$121,0))</f>
        <v/>
      </c>
    </row>
    <row r="49">
      <c r="A49" s="23" t="inlineStr">
        <is>
          <t>1047</t>
        </is>
      </c>
      <c r="B49" s="23">
        <f>INDEX(Dados!$D$2:$D$121,MATCH(1047,Dados!$A$2:$A$121,0))</f>
        <v/>
      </c>
      <c r="C49" s="23">
        <f>INDEX(Dados!$E$2:$E$121,MATCH(1047,Dados!$A$2:$A$121,0))</f>
        <v/>
      </c>
    </row>
    <row r="50">
      <c r="A50" s="23" t="inlineStr">
        <is>
          <t>1048</t>
        </is>
      </c>
      <c r="B50" s="23">
        <f>INDEX(Dados!$D$2:$D$121,MATCH(1048,Dados!$A$2:$A$121,0))</f>
        <v/>
      </c>
      <c r="C50" s="23">
        <f>INDEX(Dados!$E$2:$E$121,MATCH(1048,Dados!$A$2:$A$121,0))</f>
        <v/>
      </c>
    </row>
    <row r="51">
      <c r="A51" s="23" t="inlineStr">
        <is>
          <t>1049</t>
        </is>
      </c>
      <c r="B51" s="23">
        <f>INDEX(Dados!$D$2:$D$121,MATCH(1049,Dados!$A$2:$A$121,0))</f>
        <v/>
      </c>
      <c r="C51" s="23">
        <f>INDEX(Dados!$E$2:$E$121,MATCH(1049,Dados!$A$2:$A$121,0))</f>
        <v/>
      </c>
    </row>
    <row r="52">
      <c r="A52" s="23" t="inlineStr">
        <is>
          <t>1050</t>
        </is>
      </c>
      <c r="B52" s="23">
        <f>INDEX(Dados!$D$2:$D$121,MATCH(1050,Dados!$A$2:$A$121,0))</f>
        <v/>
      </c>
      <c r="C52" s="23">
        <f>INDEX(Dados!$E$2:$E$121,MATCH(1050,Dados!$A$2:$A$121,0))</f>
        <v/>
      </c>
    </row>
    <row r="53">
      <c r="A53" s="23" t="inlineStr">
        <is>
          <t>1051</t>
        </is>
      </c>
      <c r="B53" s="23">
        <f>INDEX(Dados!$D$2:$D$121,MATCH(1051,Dados!$A$2:$A$121,0))</f>
        <v/>
      </c>
      <c r="C53" s="23">
        <f>INDEX(Dados!$E$2:$E$121,MATCH(1051,Dados!$A$2:$A$121,0))</f>
        <v/>
      </c>
    </row>
    <row r="54">
      <c r="A54" s="23" t="inlineStr">
        <is>
          <t>1052</t>
        </is>
      </c>
      <c r="B54" s="23">
        <f>INDEX(Dados!$D$2:$D$121,MATCH(1052,Dados!$A$2:$A$121,0))</f>
        <v/>
      </c>
      <c r="C54" s="23">
        <f>INDEX(Dados!$E$2:$E$121,MATCH(1052,Dados!$A$2:$A$121,0))</f>
        <v/>
      </c>
    </row>
    <row r="55">
      <c r="A55" s="23" t="inlineStr">
        <is>
          <t>1053</t>
        </is>
      </c>
      <c r="B55" s="23">
        <f>INDEX(Dados!$D$2:$D$121,MATCH(1053,Dados!$A$2:$A$121,0))</f>
        <v/>
      </c>
      <c r="C55" s="23">
        <f>INDEX(Dados!$E$2:$E$121,MATCH(1053,Dados!$A$2:$A$121,0))</f>
        <v/>
      </c>
    </row>
    <row r="56">
      <c r="A56" s="23" t="inlineStr">
        <is>
          <t>1054</t>
        </is>
      </c>
      <c r="B56" s="23">
        <f>INDEX(Dados!$D$2:$D$121,MATCH(1054,Dados!$A$2:$A$121,0))</f>
        <v/>
      </c>
      <c r="C56" s="23">
        <f>INDEX(Dados!$E$2:$E$121,MATCH(1054,Dados!$A$2:$A$121,0))</f>
        <v/>
      </c>
    </row>
    <row r="57">
      <c r="A57" s="23" t="inlineStr">
        <is>
          <t>1055</t>
        </is>
      </c>
      <c r="B57" s="23">
        <f>INDEX(Dados!$D$2:$D$121,MATCH(1055,Dados!$A$2:$A$121,0))</f>
        <v/>
      </c>
      <c r="C57" s="23">
        <f>INDEX(Dados!$E$2:$E$121,MATCH(1055,Dados!$A$2:$A$121,0))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3" t="inlineStr">
        <is>
          <t>ID FGV</t>
        </is>
      </c>
      <c r="B1" s="13" t="inlineStr">
        <is>
          <t>Coletados</t>
        </is>
      </c>
      <c r="C1" s="13" t="inlineStr">
        <is>
          <t>Faltam</t>
        </is>
      </c>
    </row>
    <row r="2">
      <c r="A2" s="23" t="inlineStr">
        <is>
          <t>1056</t>
        </is>
      </c>
      <c r="B2" s="23">
        <f>INDEX(Dados!$D$2:$D$121,MATCH(1056,Dados!$A$2:$A$121,0))</f>
        <v/>
      </c>
      <c r="C2" s="23">
        <f>INDEX(Dados!$E$2:$E$121,MATCH(1056,Dados!$A$2:$A$121,0))</f>
        <v/>
      </c>
    </row>
    <row r="3">
      <c r="A3" s="23" t="inlineStr">
        <is>
          <t>1057</t>
        </is>
      </c>
      <c r="B3" s="23">
        <f>INDEX(Dados!$D$2:$D$121,MATCH(1057,Dados!$A$2:$A$121,0))</f>
        <v/>
      </c>
      <c r="C3" s="23">
        <f>INDEX(Dados!$E$2:$E$121,MATCH(1057,Dados!$A$2:$A$121,0))</f>
        <v/>
      </c>
    </row>
    <row r="4">
      <c r="A4" s="23" t="inlineStr">
        <is>
          <t>1058</t>
        </is>
      </c>
      <c r="B4" s="23">
        <f>INDEX(Dados!$D$2:$D$121,MATCH(1058,Dados!$A$2:$A$121,0))</f>
        <v/>
      </c>
      <c r="C4" s="23">
        <f>INDEX(Dados!$E$2:$E$121,MATCH(1058,Dados!$A$2:$A$121,0))</f>
        <v/>
      </c>
    </row>
    <row r="5">
      <c r="A5" s="23" t="inlineStr">
        <is>
          <t>1059</t>
        </is>
      </c>
      <c r="B5" s="23">
        <f>INDEX(Dados!$D$2:$D$121,MATCH(1059,Dados!$A$2:$A$121,0))</f>
        <v/>
      </c>
      <c r="C5" s="23">
        <f>INDEX(Dados!$E$2:$E$121,MATCH(1059,Dados!$A$2:$A$121,0))</f>
        <v/>
      </c>
    </row>
    <row r="6">
      <c r="A6" s="23" t="inlineStr">
        <is>
          <t>1060</t>
        </is>
      </c>
      <c r="B6" s="23">
        <f>INDEX(Dados!$D$2:$D$121,MATCH(1060,Dados!$A$2:$A$121,0))</f>
        <v/>
      </c>
      <c r="C6" s="23">
        <f>INDEX(Dados!$E$2:$E$121,MATCH(1060,Dados!$A$2:$A$121,0))</f>
        <v/>
      </c>
    </row>
    <row r="7">
      <c r="A7" s="23" t="inlineStr">
        <is>
          <t>1061</t>
        </is>
      </c>
      <c r="B7" s="23">
        <f>INDEX(Dados!$D$2:$D$121,MATCH(1061,Dados!$A$2:$A$121,0))</f>
        <v/>
      </c>
      <c r="C7" s="23">
        <f>INDEX(Dados!$E$2:$E$121,MATCH(1061,Dados!$A$2:$A$121,0))</f>
        <v/>
      </c>
    </row>
    <row r="8">
      <c r="A8" s="23" t="inlineStr">
        <is>
          <t>1062</t>
        </is>
      </c>
      <c r="B8" s="23">
        <f>INDEX(Dados!$D$2:$D$121,MATCH(1062,Dados!$A$2:$A$121,0))</f>
        <v/>
      </c>
      <c r="C8" s="23">
        <f>INDEX(Dados!$E$2:$E$121,MATCH(1062,Dados!$A$2:$A$121,0))</f>
        <v/>
      </c>
    </row>
    <row r="9">
      <c r="A9" s="23" t="inlineStr">
        <is>
          <t>1063</t>
        </is>
      </c>
      <c r="B9" s="23">
        <f>INDEX(Dados!$D$2:$D$121,MATCH(1063,Dados!$A$2:$A$121,0))</f>
        <v/>
      </c>
      <c r="C9" s="23">
        <f>INDEX(Dados!$E$2:$E$121,MATCH(1063,Dados!$A$2:$A$121,0))</f>
        <v/>
      </c>
    </row>
    <row r="10">
      <c r="A10" s="23" t="inlineStr">
        <is>
          <t>1064</t>
        </is>
      </c>
      <c r="B10" s="23">
        <f>INDEX(Dados!$D$2:$D$121,MATCH(1064,Dados!$A$2:$A$121,0))</f>
        <v/>
      </c>
      <c r="C10" s="23">
        <f>INDEX(Dados!$E$2:$E$121,MATCH(1064,Dados!$A$2:$A$121,0))</f>
        <v/>
      </c>
    </row>
    <row r="11">
      <c r="A11" s="23" t="inlineStr">
        <is>
          <t>1065</t>
        </is>
      </c>
      <c r="B11" s="23">
        <f>INDEX(Dados!$D$2:$D$121,MATCH(1065,Dados!$A$2:$A$121,0))</f>
        <v/>
      </c>
      <c r="C11" s="23">
        <f>INDEX(Dados!$E$2:$E$121,MATCH(1065,Dados!$A$2:$A$121,0))</f>
        <v/>
      </c>
    </row>
    <row r="12">
      <c r="A12" s="23" t="inlineStr">
        <is>
          <t>1066</t>
        </is>
      </c>
      <c r="B12" s="23">
        <f>INDEX(Dados!$D$2:$D$121,MATCH(1066,Dados!$A$2:$A$121,0))</f>
        <v/>
      </c>
      <c r="C12" s="23">
        <f>INDEX(Dados!$E$2:$E$121,MATCH(1066,Dados!$A$2:$A$121,0))</f>
        <v/>
      </c>
    </row>
    <row r="13">
      <c r="A13" s="23" t="inlineStr">
        <is>
          <t>1067</t>
        </is>
      </c>
      <c r="B13" s="23">
        <f>INDEX(Dados!$D$2:$D$121,MATCH(1067,Dados!$A$2:$A$121,0))</f>
        <v/>
      </c>
      <c r="C13" s="23">
        <f>INDEX(Dados!$E$2:$E$121,MATCH(1067,Dados!$A$2:$A$121,0))</f>
        <v/>
      </c>
    </row>
    <row r="14">
      <c r="A14" s="23" t="inlineStr">
        <is>
          <t>1068</t>
        </is>
      </c>
      <c r="B14" s="23">
        <f>INDEX(Dados!$D$2:$D$121,MATCH(1068,Dados!$A$2:$A$121,0))</f>
        <v/>
      </c>
      <c r="C14" s="23">
        <f>INDEX(Dados!$E$2:$E$121,MATCH(1068,Dados!$A$2:$A$121,0))</f>
        <v/>
      </c>
    </row>
    <row r="15">
      <c r="A15" s="23" t="inlineStr">
        <is>
          <t>1069</t>
        </is>
      </c>
      <c r="B15" s="23">
        <f>INDEX(Dados!$D$2:$D$121,MATCH(1069,Dados!$A$2:$A$121,0))</f>
        <v/>
      </c>
      <c r="C15" s="23">
        <f>INDEX(Dados!$E$2:$E$121,MATCH(1069,Dados!$A$2:$A$121,0))</f>
        <v/>
      </c>
    </row>
    <row r="16">
      <c r="A16" s="23" t="inlineStr">
        <is>
          <t>1070</t>
        </is>
      </c>
      <c r="B16" s="23">
        <f>INDEX(Dados!$D$2:$D$121,MATCH(1070,Dados!$A$2:$A$121,0))</f>
        <v/>
      </c>
      <c r="C16" s="23">
        <f>INDEX(Dados!$E$2:$E$121,MATCH(1070,Dados!$A$2:$A$121,0))</f>
        <v/>
      </c>
    </row>
    <row r="17">
      <c r="A17" s="23" t="inlineStr">
        <is>
          <t>1071</t>
        </is>
      </c>
      <c r="B17" s="23">
        <f>INDEX(Dados!$D$2:$D$121,MATCH(1071,Dados!$A$2:$A$121,0))</f>
        <v/>
      </c>
      <c r="C17" s="23">
        <f>INDEX(Dados!$E$2:$E$121,MATCH(1071,Dados!$A$2:$A$121,0))</f>
        <v/>
      </c>
    </row>
    <row r="18">
      <c r="A18" s="23" t="inlineStr">
        <is>
          <t>1072</t>
        </is>
      </c>
      <c r="B18" s="23">
        <f>INDEX(Dados!$D$2:$D$121,MATCH(1072,Dados!$A$2:$A$121,0))</f>
        <v/>
      </c>
      <c r="C18" s="23">
        <f>INDEX(Dados!$E$2:$E$121,MATCH(1072,Dados!$A$2:$A$121,0))</f>
        <v/>
      </c>
    </row>
    <row r="19">
      <c r="A19" s="23" t="inlineStr">
        <is>
          <t>1073</t>
        </is>
      </c>
      <c r="B19" s="23">
        <f>INDEX(Dados!$D$2:$D$121,MATCH(1073,Dados!$A$2:$A$121,0))</f>
        <v/>
      </c>
      <c r="C19" s="23">
        <f>INDEX(Dados!$E$2:$E$121,MATCH(1073,Dados!$A$2:$A$121,0))</f>
        <v/>
      </c>
    </row>
    <row r="20">
      <c r="A20" s="23" t="inlineStr">
        <is>
          <t>1074</t>
        </is>
      </c>
      <c r="B20" s="23">
        <f>INDEX(Dados!$D$2:$D$121,MATCH(1074,Dados!$A$2:$A$121,0))</f>
        <v/>
      </c>
      <c r="C20" s="23">
        <f>INDEX(Dados!$E$2:$E$121,MATCH(1074,Dados!$A$2:$A$121,0))</f>
        <v/>
      </c>
    </row>
    <row r="21">
      <c r="A21" s="23" t="inlineStr">
        <is>
          <t>1075</t>
        </is>
      </c>
      <c r="B21" s="23">
        <f>INDEX(Dados!$D$2:$D$121,MATCH(1075,Dados!$A$2:$A$121,0))</f>
        <v/>
      </c>
      <c r="C21" s="23">
        <f>INDEX(Dados!$E$2:$E$121,MATCH(1075,Dados!$A$2:$A$121,0))</f>
        <v/>
      </c>
    </row>
    <row r="22">
      <c r="A22" s="23" t="inlineStr">
        <is>
          <t>1076</t>
        </is>
      </c>
      <c r="B22" s="23">
        <f>INDEX(Dados!$D$2:$D$121,MATCH(1076,Dados!$A$2:$A$121,0))</f>
        <v/>
      </c>
      <c r="C22" s="23">
        <f>INDEX(Dados!$E$2:$E$121,MATCH(1076,Dados!$A$2:$A$121,0))</f>
        <v/>
      </c>
    </row>
    <row r="23">
      <c r="A23" s="23" t="inlineStr">
        <is>
          <t>1077</t>
        </is>
      </c>
      <c r="B23" s="23">
        <f>INDEX(Dados!$D$2:$D$121,MATCH(1077,Dados!$A$2:$A$121,0))</f>
        <v/>
      </c>
      <c r="C23" s="23">
        <f>INDEX(Dados!$E$2:$E$121,MATCH(1077,Dados!$A$2:$A$121,0))</f>
        <v/>
      </c>
    </row>
    <row r="24">
      <c r="A24" s="23" t="inlineStr">
        <is>
          <t>1078</t>
        </is>
      </c>
      <c r="B24" s="23">
        <f>INDEX(Dados!$D$2:$D$121,MATCH(1078,Dados!$A$2:$A$121,0))</f>
        <v/>
      </c>
      <c r="C24" s="23">
        <f>INDEX(Dados!$E$2:$E$121,MATCH(1078,Dados!$A$2:$A$121,0))</f>
        <v/>
      </c>
    </row>
    <row r="25">
      <c r="A25" s="23" t="inlineStr">
        <is>
          <t>1079</t>
        </is>
      </c>
      <c r="B25" s="23">
        <f>INDEX(Dados!$D$2:$D$121,MATCH(1079,Dados!$A$2:$A$121,0))</f>
        <v/>
      </c>
      <c r="C25" s="23">
        <f>INDEX(Dados!$E$2:$E$121,MATCH(1079,Dados!$A$2:$A$121,0))</f>
        <v/>
      </c>
    </row>
    <row r="26">
      <c r="A26" s="23" t="inlineStr">
        <is>
          <t>1080</t>
        </is>
      </c>
      <c r="B26" s="23">
        <f>INDEX(Dados!$D$2:$D$121,MATCH(1080,Dados!$A$2:$A$121,0))</f>
        <v/>
      </c>
      <c r="C26" s="23">
        <f>INDEX(Dados!$E$2:$E$121,MATCH(1080,Dados!$A$2:$A$121,0))</f>
        <v/>
      </c>
    </row>
    <row r="27">
      <c r="A27" s="23" t="inlineStr">
        <is>
          <t>1081</t>
        </is>
      </c>
      <c r="B27" s="23">
        <f>INDEX(Dados!$D$2:$D$121,MATCH(1081,Dados!$A$2:$A$121,0))</f>
        <v/>
      </c>
      <c r="C27" s="23">
        <f>INDEX(Dados!$E$2:$E$121,MATCH(1081,Dados!$A$2:$A$121,0))</f>
        <v/>
      </c>
    </row>
    <row r="28">
      <c r="A28" s="23" t="inlineStr">
        <is>
          <t>1082</t>
        </is>
      </c>
      <c r="B28" s="23">
        <f>INDEX(Dados!$D$2:$D$121,MATCH(1082,Dados!$A$2:$A$121,0))</f>
        <v/>
      </c>
      <c r="C28" s="23">
        <f>INDEX(Dados!$E$2:$E$121,MATCH(1082,Dados!$A$2:$A$121,0))</f>
        <v/>
      </c>
    </row>
    <row r="29">
      <c r="A29" s="23" t="inlineStr">
        <is>
          <t>1083</t>
        </is>
      </c>
      <c r="B29" s="23">
        <f>INDEX(Dados!$D$2:$D$121,MATCH(1083,Dados!$A$2:$A$121,0))</f>
        <v/>
      </c>
      <c r="C29" s="23">
        <f>INDEX(Dados!$E$2:$E$121,MATCH(1083,Dados!$A$2:$A$121,0))</f>
        <v/>
      </c>
    </row>
    <row r="30">
      <c r="A30" s="23" t="inlineStr">
        <is>
          <t>1084</t>
        </is>
      </c>
      <c r="B30" s="23">
        <f>INDEX(Dados!$D$2:$D$121,MATCH(1084,Dados!$A$2:$A$121,0))</f>
        <v/>
      </c>
      <c r="C30" s="23">
        <f>INDEX(Dados!$E$2:$E$121,MATCH(1084,Dados!$A$2:$A$121,0))</f>
        <v/>
      </c>
    </row>
    <row r="31">
      <c r="A31" s="23" t="inlineStr">
        <is>
          <t>1085</t>
        </is>
      </c>
      <c r="B31" s="23">
        <f>INDEX(Dados!$D$2:$D$121,MATCH(1085,Dados!$A$2:$A$121,0))</f>
        <v/>
      </c>
      <c r="C31" s="23">
        <f>INDEX(Dados!$E$2:$E$121,MATCH(1085,Dados!$A$2:$A$121,0))</f>
        <v/>
      </c>
    </row>
    <row r="32">
      <c r="A32" s="23" t="inlineStr">
        <is>
          <t>1086</t>
        </is>
      </c>
      <c r="B32" s="23">
        <f>INDEX(Dados!$D$2:$D$121,MATCH(1086,Dados!$A$2:$A$121,0))</f>
        <v/>
      </c>
      <c r="C32" s="23">
        <f>INDEX(Dados!$E$2:$E$121,MATCH(1086,Dados!$A$2:$A$121,0))</f>
        <v/>
      </c>
    </row>
    <row r="33">
      <c r="A33" s="23" t="inlineStr">
        <is>
          <t>1087</t>
        </is>
      </c>
      <c r="B33" s="23">
        <f>INDEX(Dados!$D$2:$D$121,MATCH(1087,Dados!$A$2:$A$121,0))</f>
        <v/>
      </c>
      <c r="C33" s="23">
        <f>INDEX(Dados!$E$2:$E$121,MATCH(1087,Dados!$A$2:$A$121,0))</f>
        <v/>
      </c>
    </row>
    <row r="34">
      <c r="A34" s="23" t="inlineStr">
        <is>
          <t>1088</t>
        </is>
      </c>
      <c r="B34" s="23">
        <f>INDEX(Dados!$D$2:$D$121,MATCH(1088,Dados!$A$2:$A$121,0))</f>
        <v/>
      </c>
      <c r="C34" s="23">
        <f>INDEX(Dados!$E$2:$E$121,MATCH(1088,Dados!$A$2:$A$121,0))</f>
        <v/>
      </c>
    </row>
    <row r="35">
      <c r="A35" s="23" t="inlineStr">
        <is>
          <t>1089</t>
        </is>
      </c>
      <c r="B35" s="23">
        <f>INDEX(Dados!$D$2:$D$121,MATCH(1089,Dados!$A$2:$A$121,0))</f>
        <v/>
      </c>
      <c r="C35" s="23">
        <f>INDEX(Dados!$E$2:$E$121,MATCH(1089,Dados!$A$2:$A$121,0))</f>
        <v/>
      </c>
    </row>
    <row r="36">
      <c r="A36" s="23" t="inlineStr">
        <is>
          <t>1090</t>
        </is>
      </c>
      <c r="B36" s="23">
        <f>INDEX(Dados!$D$2:$D$121,MATCH(1090,Dados!$A$2:$A$121,0))</f>
        <v/>
      </c>
      <c r="C36" s="23">
        <f>INDEX(Dados!$E$2:$E$121,MATCH(1090,Dados!$A$2:$A$121,0))</f>
        <v/>
      </c>
    </row>
    <row r="37">
      <c r="A37" s="23" t="inlineStr">
        <is>
          <t>1091</t>
        </is>
      </c>
      <c r="B37" s="23">
        <f>INDEX(Dados!$D$2:$D$121,MATCH(1091,Dados!$A$2:$A$121,0))</f>
        <v/>
      </c>
      <c r="C37" s="23">
        <f>INDEX(Dados!$E$2:$E$121,MATCH(1091,Dados!$A$2:$A$121,0))</f>
        <v/>
      </c>
    </row>
    <row r="38">
      <c r="A38" s="23" t="inlineStr">
        <is>
          <t>1092</t>
        </is>
      </c>
      <c r="B38" s="23">
        <f>INDEX(Dados!$D$2:$D$121,MATCH(1092,Dados!$A$2:$A$121,0))</f>
        <v/>
      </c>
      <c r="C38" s="23">
        <f>INDEX(Dados!$E$2:$E$121,MATCH(1092,Dados!$A$2:$A$121,0))</f>
        <v/>
      </c>
    </row>
    <row r="39">
      <c r="A39" s="23" t="inlineStr">
        <is>
          <t>1093</t>
        </is>
      </c>
      <c r="B39" s="23">
        <f>INDEX(Dados!$D$2:$D$121,MATCH(1093,Dados!$A$2:$A$121,0))</f>
        <v/>
      </c>
      <c r="C39" s="23">
        <f>INDEX(Dados!$E$2:$E$121,MATCH(1093,Dados!$A$2:$A$121,0))</f>
        <v/>
      </c>
    </row>
    <row r="40">
      <c r="A40" s="23" t="inlineStr">
        <is>
          <t>1094</t>
        </is>
      </c>
      <c r="B40" s="23">
        <f>INDEX(Dados!$D$2:$D$121,MATCH(1094,Dados!$A$2:$A$121,0))</f>
        <v/>
      </c>
      <c r="C40" s="23">
        <f>INDEX(Dados!$E$2:$E$121,MATCH(1094,Dados!$A$2:$A$121,0))</f>
        <v/>
      </c>
    </row>
    <row r="41">
      <c r="A41" s="23" t="inlineStr">
        <is>
          <t>1095</t>
        </is>
      </c>
      <c r="B41" s="23">
        <f>INDEX(Dados!$D$2:$D$121,MATCH(1095,Dados!$A$2:$A$121,0))</f>
        <v/>
      </c>
      <c r="C41" s="23">
        <f>INDEX(Dados!$E$2:$E$121,MATCH(1095,Dados!$A$2:$A$121,0))</f>
        <v/>
      </c>
    </row>
    <row r="42">
      <c r="A42" s="23" t="inlineStr">
        <is>
          <t>1096</t>
        </is>
      </c>
      <c r="B42" s="23">
        <f>INDEX(Dados!$D$2:$D$121,MATCH(1096,Dados!$A$2:$A$121,0))</f>
        <v/>
      </c>
      <c r="C42" s="23">
        <f>INDEX(Dados!$E$2:$E$121,MATCH(1096,Dados!$A$2:$A$121,0))</f>
        <v/>
      </c>
    </row>
    <row r="43">
      <c r="A43" s="23" t="inlineStr">
        <is>
          <t>1097</t>
        </is>
      </c>
      <c r="B43" s="23">
        <f>INDEX(Dados!$D$2:$D$121,MATCH(1097,Dados!$A$2:$A$121,0))</f>
        <v/>
      </c>
      <c r="C43" s="23">
        <f>INDEX(Dados!$E$2:$E$121,MATCH(1097,Dados!$A$2:$A$121,0))</f>
        <v/>
      </c>
    </row>
    <row r="44">
      <c r="A44" s="23" t="inlineStr">
        <is>
          <t>1098</t>
        </is>
      </c>
      <c r="B44" s="23">
        <f>INDEX(Dados!$D$2:$D$121,MATCH(1098,Dados!$A$2:$A$121,0))</f>
        <v/>
      </c>
      <c r="C44" s="23">
        <f>INDEX(Dados!$E$2:$E$121,MATCH(1098,Dados!$A$2:$A$121,0))</f>
        <v/>
      </c>
    </row>
    <row r="45">
      <c r="A45" s="23" t="inlineStr">
        <is>
          <t>1099</t>
        </is>
      </c>
      <c r="B45" s="23">
        <f>INDEX(Dados!$D$2:$D$121,MATCH(1099,Dados!$A$2:$A$121,0))</f>
        <v/>
      </c>
      <c r="C45" s="23">
        <f>INDEX(Dados!$E$2:$E$121,MATCH(1099,Dados!$A$2:$A$121,0))</f>
        <v/>
      </c>
    </row>
    <row r="46">
      <c r="A46" s="23" t="inlineStr">
        <is>
          <t>1100</t>
        </is>
      </c>
      <c r="B46" s="23">
        <f>INDEX(Dados!$D$2:$D$121,MATCH(1100,Dados!$A$2:$A$121,0))</f>
        <v/>
      </c>
      <c r="C46" s="23">
        <f>INDEX(Dados!$E$2:$E$121,MATCH(1100,Dados!$A$2:$A$121,0))</f>
        <v/>
      </c>
    </row>
    <row r="47">
      <c r="A47" s="23" t="inlineStr">
        <is>
          <t>1101</t>
        </is>
      </c>
      <c r="B47" s="23">
        <f>INDEX(Dados!$D$2:$D$121,MATCH(1101,Dados!$A$2:$A$121,0))</f>
        <v/>
      </c>
      <c r="C47" s="23">
        <f>INDEX(Dados!$E$2:$E$121,MATCH(1101,Dados!$A$2:$A$121,0))</f>
        <v/>
      </c>
    </row>
    <row r="48">
      <c r="A48" s="23" t="inlineStr">
        <is>
          <t>1102</t>
        </is>
      </c>
      <c r="B48" s="23">
        <f>INDEX(Dados!$D$2:$D$121,MATCH(1102,Dados!$A$2:$A$121,0))</f>
        <v/>
      </c>
      <c r="C48" s="23">
        <f>INDEX(Dados!$E$2:$E$121,MATCH(1102,Dados!$A$2:$A$121,0))</f>
        <v/>
      </c>
    </row>
    <row r="49">
      <c r="A49" s="23" t="inlineStr">
        <is>
          <t>1103</t>
        </is>
      </c>
      <c r="B49" s="23">
        <f>INDEX(Dados!$D$2:$D$121,MATCH(1103,Dados!$A$2:$A$121,0))</f>
        <v/>
      </c>
      <c r="C49" s="23">
        <f>INDEX(Dados!$E$2:$E$121,MATCH(1103,Dados!$A$2:$A$121,0))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2026-10-13T11:45:52Z</dcterms:created>
  <dcterms:modified xmlns:dcterms="http://purl.org/dc/terms/" xmlns:xsi="http://www.w3.org/2001/XMLSchema-instance" xsi:type="dcterms:W3CDTF">2026-10-13T11:45:52Z</dcterms:modified>
</cp:coreProperties>
</file>